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G:\Data Analysis C4\For Portfolio\Messy Ecommerce Sales Data\Dataset After Analysis\Excel\"/>
    </mc:Choice>
  </mc:AlternateContent>
  <xr:revisionPtr revIDLastSave="0" documentId="13_ncr:1_{0C62622C-D5C8-43B3-BDE1-9E90907AE8D8}" xr6:coauthVersionLast="47" xr6:coauthVersionMax="47" xr10:uidLastSave="{00000000-0000-0000-0000-000000000000}"/>
  <bookViews>
    <workbookView xWindow="-120" yWindow="-120" windowWidth="29040" windowHeight="15840" activeTab="3" xr2:uid="{00000000-000D-0000-FFFF-FFFF00000000}"/>
  </bookViews>
  <sheets>
    <sheet name="Pre-Processing" sheetId="1" r:id="rId1"/>
    <sheet name="Validated Set" sheetId="2" r:id="rId2"/>
    <sheet name="Insight Engine" sheetId="7" r:id="rId3"/>
    <sheet name="Dashboard" sheetId="4" r:id="rId4"/>
  </sheets>
  <definedNames>
    <definedName name="ExternalData_1" localSheetId="1" hidden="1">'Validated Set'!$A$1:$N$98</definedName>
    <definedName name="Slicer_Category">#N/A</definedName>
    <definedName name="Slicer_Year">#N/A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L11" i="7" l="1"/>
  <c r="M11" i="7"/>
  <c r="L12" i="7"/>
  <c r="M12" i="7"/>
  <c r="L13" i="7"/>
  <c r="M13" i="7"/>
  <c r="L14" i="7"/>
  <c r="M14" i="7"/>
  <c r="L15" i="7"/>
  <c r="M15" i="7"/>
  <c r="G11" i="7"/>
  <c r="H11" i="7"/>
  <c r="G12" i="7"/>
  <c r="H12" i="7"/>
  <c r="G13" i="7"/>
  <c r="H13" i="7"/>
  <c r="G14" i="7"/>
  <c r="H14" i="7"/>
  <c r="G15" i="7"/>
  <c r="H15" i="7"/>
  <c r="G16" i="7"/>
  <c r="H16" i="7"/>
  <c r="D6" i="7"/>
  <c r="D7" i="7"/>
  <c r="A6" i="7"/>
  <c r="A7" i="7"/>
  <c r="D21" i="7"/>
  <c r="E21" i="7"/>
  <c r="D22" i="7"/>
  <c r="E22" i="7"/>
  <c r="D23" i="7"/>
  <c r="E23" i="7"/>
  <c r="D24" i="7"/>
  <c r="E24" i="7"/>
  <c r="D25" i="7"/>
  <c r="E25" i="7"/>
  <c r="D26" i="7"/>
  <c r="E26" i="7"/>
  <c r="D27" i="7"/>
  <c r="E27" i="7"/>
  <c r="D28" i="7"/>
  <c r="E28" i="7"/>
  <c r="D29" i="7"/>
  <c r="E29" i="7"/>
  <c r="D30" i="7"/>
  <c r="E30" i="7"/>
  <c r="D31" i="7"/>
  <c r="E31" i="7"/>
  <c r="D32" i="7"/>
  <c r="E32" i="7"/>
  <c r="D33" i="7"/>
  <c r="E33" i="7"/>
  <c r="D34" i="7"/>
  <c r="E34" i="7"/>
  <c r="D35" i="7"/>
  <c r="E35" i="7"/>
  <c r="D36" i="7"/>
  <c r="E36" i="7"/>
  <c r="D37" i="7"/>
  <c r="E37" i="7"/>
  <c r="D38" i="7"/>
  <c r="E38" i="7"/>
  <c r="D39" i="7"/>
  <c r="E39" i="7"/>
  <c r="D40" i="7"/>
  <c r="E40" i="7"/>
  <c r="D41" i="7"/>
  <c r="E41" i="7"/>
  <c r="D42" i="7"/>
  <c r="E42"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62CF8B0-24BB-4D86-8519-214304C7DD32}" keepAlive="1" name="Query - Table1" description="Connection to the 'Table1' query in the workbook." type="5" refreshedVersion="7"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<sst xmlns="http://schemas.openxmlformats.org/spreadsheetml/2006/main" count="1255" uniqueCount="269">
  <si>
    <t>ID</t>
  </si>
  <si>
    <t xml:space="preserve"> Product</t>
  </si>
  <si>
    <t>Category</t>
  </si>
  <si>
    <t>Quantity</t>
  </si>
  <si>
    <t>Price</t>
  </si>
  <si>
    <t>Status</t>
  </si>
  <si>
    <t>Total</t>
  </si>
  <si>
    <t>Customer_100</t>
  </si>
  <si>
    <t>ORD-41285</t>
  </si>
  <si>
    <t>Blender</t>
  </si>
  <si>
    <t>Home</t>
  </si>
  <si>
    <t>Cash on Delivery</t>
  </si>
  <si>
    <t>Shipped</t>
  </si>
  <si>
    <t>Customer_101</t>
  </si>
  <si>
    <t>ORD-35783</t>
  </si>
  <si>
    <t>Smartphone</t>
  </si>
  <si>
    <t>Electronics</t>
  </si>
  <si>
    <t>abd</t>
  </si>
  <si>
    <t>PayPal</t>
  </si>
  <si>
    <t>Processing</t>
  </si>
  <si>
    <t>Customer_102</t>
  </si>
  <si>
    <t>ORD-84355</t>
  </si>
  <si>
    <t>Tennis Racket</t>
  </si>
  <si>
    <t>Sports</t>
  </si>
  <si>
    <t>Delivered</t>
  </si>
  <si>
    <t>Customer_103</t>
  </si>
  <si>
    <t>ORD-57811</t>
  </si>
  <si>
    <t>Science</t>
  </si>
  <si>
    <t>Books</t>
  </si>
  <si>
    <t>Customer_104</t>
  </si>
  <si>
    <t>ORD-93614</t>
  </si>
  <si>
    <t>Biography</t>
  </si>
  <si>
    <t>Customer_105</t>
  </si>
  <si>
    <t>ORD-22442</t>
  </si>
  <si>
    <t>Cancelled</t>
  </si>
  <si>
    <t>Customer_106</t>
  </si>
  <si>
    <t>ORD-25885</t>
  </si>
  <si>
    <t>Bank Transfer</t>
  </si>
  <si>
    <t>Customer_107</t>
  </si>
  <si>
    <t>ORD-89122</t>
  </si>
  <si>
    <t>Returned</t>
  </si>
  <si>
    <t>Customer_108</t>
  </si>
  <si>
    <t>ORD-64400</t>
  </si>
  <si>
    <t>Customer_109</t>
  </si>
  <si>
    <t>ORD-18512</t>
  </si>
  <si>
    <t>Credit Card</t>
  </si>
  <si>
    <t>Customer_110</t>
  </si>
  <si>
    <t>ORD-61020</t>
  </si>
  <si>
    <t>Basketball</t>
  </si>
  <si>
    <t>sports</t>
  </si>
  <si>
    <t>four hundred</t>
  </si>
  <si>
    <t>Customer_111</t>
  </si>
  <si>
    <t>ORD-72349</t>
  </si>
  <si>
    <t>Comics</t>
  </si>
  <si>
    <t>Customer_112</t>
  </si>
  <si>
    <t>ORD-80867</t>
  </si>
  <si>
    <t>Shoes</t>
  </si>
  <si>
    <t>Clothing</t>
  </si>
  <si>
    <t>Customer_113</t>
  </si>
  <si>
    <t>ORD-23994</t>
  </si>
  <si>
    <t>Fiction</t>
  </si>
  <si>
    <t>Customer_114</t>
  </si>
  <si>
    <t>ORD-77417</t>
  </si>
  <si>
    <t>Jan 5 2023</t>
  </si>
  <si>
    <t>Customer_115</t>
  </si>
  <si>
    <t>ORD-72778</t>
  </si>
  <si>
    <t>Customer_116</t>
  </si>
  <si>
    <t>ORD-63660</t>
  </si>
  <si>
    <t>Microwave</t>
  </si>
  <si>
    <t>Customer_117</t>
  </si>
  <si>
    <t>ORD-72751</t>
  </si>
  <si>
    <t>electronic</t>
  </si>
  <si>
    <t>Customer_118</t>
  </si>
  <si>
    <t>ORD-96061</t>
  </si>
  <si>
    <t>Customer_119</t>
  </si>
  <si>
    <t>ORD-76016</t>
  </si>
  <si>
    <t>Customer_120</t>
  </si>
  <si>
    <t>ORD-14659</t>
  </si>
  <si>
    <t>Yoga Mat</t>
  </si>
  <si>
    <t>ELECTRONICS</t>
  </si>
  <si>
    <t>300$</t>
  </si>
  <si>
    <t>Customer_121</t>
  </si>
  <si>
    <t>ORD-80067</t>
  </si>
  <si>
    <t>Customer_122</t>
  </si>
  <si>
    <t>ORD-21443</t>
  </si>
  <si>
    <t>Customer_123</t>
  </si>
  <si>
    <t>ORD-11314</t>
  </si>
  <si>
    <t>Vacuum</t>
  </si>
  <si>
    <t>Customer_124</t>
  </si>
  <si>
    <t>ORD-46136</t>
  </si>
  <si>
    <t>Customer_125</t>
  </si>
  <si>
    <t>ORD-23202</t>
  </si>
  <si>
    <t>Customer_126</t>
  </si>
  <si>
    <t>ORD-11261</t>
  </si>
  <si>
    <t>Customer_127</t>
  </si>
  <si>
    <t>ORD-65482</t>
  </si>
  <si>
    <t>Customer_128</t>
  </si>
  <si>
    <t>ORD-12270</t>
  </si>
  <si>
    <t>Lamp</t>
  </si>
  <si>
    <t>electronics</t>
  </si>
  <si>
    <t>Customer_129</t>
  </si>
  <si>
    <t>ORD-48863</t>
  </si>
  <si>
    <t>Customer_130</t>
  </si>
  <si>
    <t>ORD-34007</t>
  </si>
  <si>
    <t>Customer_131</t>
  </si>
  <si>
    <t>ORD-91396</t>
  </si>
  <si>
    <t>Customer_132</t>
  </si>
  <si>
    <t>ORD-40186</t>
  </si>
  <si>
    <t>Customer_133</t>
  </si>
  <si>
    <t>ORD-68182</t>
  </si>
  <si>
    <t>nan</t>
  </si>
  <si>
    <t>Customer_134</t>
  </si>
  <si>
    <t>ORD-16585</t>
  </si>
  <si>
    <t>T-shirt</t>
  </si>
  <si>
    <t>Customer_135</t>
  </si>
  <si>
    <t>ORD-33656</t>
  </si>
  <si>
    <t>Smartwatch</t>
  </si>
  <si>
    <t>Customer_136</t>
  </si>
  <si>
    <t>ORD-20985</t>
  </si>
  <si>
    <t>Headphones</t>
  </si>
  <si>
    <t>Customer_137</t>
  </si>
  <si>
    <t>ORD-91254</t>
  </si>
  <si>
    <t>Customer_138</t>
  </si>
  <si>
    <t>ORD-34319</t>
  </si>
  <si>
    <t>Customer_139</t>
  </si>
  <si>
    <t>ORD-38418</t>
  </si>
  <si>
    <t>Customer_140</t>
  </si>
  <si>
    <t>ORD-67096</t>
  </si>
  <si>
    <t>Customer_141</t>
  </si>
  <si>
    <t>ORD-45059</t>
  </si>
  <si>
    <t>Customer_142</t>
  </si>
  <si>
    <t>ORD-69018</t>
  </si>
  <si>
    <t>Customer_143</t>
  </si>
  <si>
    <t>ORD-14329</t>
  </si>
  <si>
    <t>Customer_144</t>
  </si>
  <si>
    <t>ORD-89452</t>
  </si>
  <si>
    <t>Football</t>
  </si>
  <si>
    <t>Customer_145</t>
  </si>
  <si>
    <t>ORD-75314</t>
  </si>
  <si>
    <t>Laptop</t>
  </si>
  <si>
    <t>Customer_146</t>
  </si>
  <si>
    <t>ORD-32755</t>
  </si>
  <si>
    <t>Customer_147</t>
  </si>
  <si>
    <t>ORD-80707</t>
  </si>
  <si>
    <t>Jacket</t>
  </si>
  <si>
    <t>Customer_148</t>
  </si>
  <si>
    <t>ORD-38423</t>
  </si>
  <si>
    <t>Customer_149</t>
  </si>
  <si>
    <t>ORD-95911</t>
  </si>
  <si>
    <t>Customer_150</t>
  </si>
  <si>
    <t>ORD-76902</t>
  </si>
  <si>
    <t>Customer_151</t>
  </si>
  <si>
    <t>ORD-56552</t>
  </si>
  <si>
    <t>Customer_152</t>
  </si>
  <si>
    <t>ORD-72869</t>
  </si>
  <si>
    <t>Customer_153</t>
  </si>
  <si>
    <t>ORD-29721</t>
  </si>
  <si>
    <t>Customer_154</t>
  </si>
  <si>
    <t>ORD-95990</t>
  </si>
  <si>
    <t>Customer_155</t>
  </si>
  <si>
    <t>ORD-20182</t>
  </si>
  <si>
    <t>shoes</t>
  </si>
  <si>
    <t>Customer_156</t>
  </si>
  <si>
    <t>ORD-34679</t>
  </si>
  <si>
    <t>Jeans</t>
  </si>
  <si>
    <t>Customer_157</t>
  </si>
  <si>
    <t>ORD-34407</t>
  </si>
  <si>
    <t>Customer_158</t>
  </si>
  <si>
    <t>ORD-35817</t>
  </si>
  <si>
    <t>Customer_159</t>
  </si>
  <si>
    <t>ORD-98162</t>
  </si>
  <si>
    <t>Customer_160</t>
  </si>
  <si>
    <t>ORD-96037</t>
  </si>
  <si>
    <t>Customer_161</t>
  </si>
  <si>
    <t>ORD-27653</t>
  </si>
  <si>
    <t>Customer_162</t>
  </si>
  <si>
    <t>ORD-27743</t>
  </si>
  <si>
    <t>Customer_163</t>
  </si>
  <si>
    <t>ORD-24378</t>
  </si>
  <si>
    <t>Customer_164</t>
  </si>
  <si>
    <t>ORD-23010</t>
  </si>
  <si>
    <t>Customer_165</t>
  </si>
  <si>
    <t>ORD-55695</t>
  </si>
  <si>
    <t>Customer_166</t>
  </si>
  <si>
    <t>ORD-97756</t>
  </si>
  <si>
    <t>Customer_167</t>
  </si>
  <si>
    <t>ORD-30329</t>
  </si>
  <si>
    <t>Customer_168</t>
  </si>
  <si>
    <t>ORD-53430</t>
  </si>
  <si>
    <t>Customer_169</t>
  </si>
  <si>
    <t>ORD-75539</t>
  </si>
  <si>
    <t>Customer_170</t>
  </si>
  <si>
    <t>ORD-21530</t>
  </si>
  <si>
    <t>Customer_171</t>
  </si>
  <si>
    <t>ORD-99790</t>
  </si>
  <si>
    <t>Customer_172</t>
  </si>
  <si>
    <t>ORD-48008</t>
  </si>
  <si>
    <t>Customer_173</t>
  </si>
  <si>
    <t>ORD-42171</t>
  </si>
  <si>
    <t>Customer_174</t>
  </si>
  <si>
    <t>ORD-16766</t>
  </si>
  <si>
    <t>Customer_175</t>
  </si>
  <si>
    <t>ORD-56651</t>
  </si>
  <si>
    <t>Customer_176</t>
  </si>
  <si>
    <t>ORD-95794</t>
  </si>
  <si>
    <t>Customer_177</t>
  </si>
  <si>
    <t>ORD-64136</t>
  </si>
  <si>
    <t>Customer_178</t>
  </si>
  <si>
    <t>ORD-89906</t>
  </si>
  <si>
    <t>Customer_179</t>
  </si>
  <si>
    <t>ORD-99328</t>
  </si>
  <si>
    <t>Customer_180</t>
  </si>
  <si>
    <t>ORD-86629</t>
  </si>
  <si>
    <t>Customer_181</t>
  </si>
  <si>
    <t>ORD-54481</t>
  </si>
  <si>
    <t>Customer_182</t>
  </si>
  <si>
    <t>ORD-79672</t>
  </si>
  <si>
    <t>Customer_183</t>
  </si>
  <si>
    <t>ORD-20916</t>
  </si>
  <si>
    <t>Customer_184</t>
  </si>
  <si>
    <t>ORD-67799</t>
  </si>
  <si>
    <t>Customer_185</t>
  </si>
  <si>
    <t>ORD-57123</t>
  </si>
  <si>
    <t>Customer_186</t>
  </si>
  <si>
    <t>ORD-90569</t>
  </si>
  <si>
    <t>Customer_187</t>
  </si>
  <si>
    <t>ORD-41292</t>
  </si>
  <si>
    <t>Customer_188</t>
  </si>
  <si>
    <t>ORD-58590</t>
  </si>
  <si>
    <t>Customer_189</t>
  </si>
  <si>
    <t>ORD-30627</t>
  </si>
  <si>
    <t>Customer_190</t>
  </si>
  <si>
    <t>ORD-38469</t>
  </si>
  <si>
    <t>Customer_191</t>
  </si>
  <si>
    <t>ORD-41810</t>
  </si>
  <si>
    <t>Customer_192</t>
  </si>
  <si>
    <t>ORD-35144</t>
  </si>
  <si>
    <t>abc</t>
  </si>
  <si>
    <t>4a</t>
  </si>
  <si>
    <t>Customer_193</t>
  </si>
  <si>
    <t>ORD-42475</t>
  </si>
  <si>
    <t>Customer_194</t>
  </si>
  <si>
    <t>ORD-69764</t>
  </si>
  <si>
    <t>Customer_195</t>
  </si>
  <si>
    <t>ORD-82876</t>
  </si>
  <si>
    <t>Customer_196</t>
  </si>
  <si>
    <t>ORD-78384</t>
  </si>
  <si>
    <t>Customer_197</t>
  </si>
  <si>
    <t>ORD-79139</t>
  </si>
  <si>
    <t>Customer_198</t>
  </si>
  <si>
    <t>ORD-14608</t>
  </si>
  <si>
    <t>Customer_199</t>
  </si>
  <si>
    <t>ORD-82922</t>
  </si>
  <si>
    <t>Order Date</t>
  </si>
  <si>
    <t>Order ID</t>
  </si>
  <si>
    <t xml:space="preserve"> Customer Name</t>
  </si>
  <si>
    <t>Payment Method</t>
  </si>
  <si>
    <t>Quarter</t>
  </si>
  <si>
    <t>Year</t>
  </si>
  <si>
    <t>Month</t>
  </si>
  <si>
    <t>Cash On Delivery</t>
  </si>
  <si>
    <t>Paypal</t>
  </si>
  <si>
    <t>Electronic</t>
  </si>
  <si>
    <t>Nan</t>
  </si>
  <si>
    <t>T-Shirt</t>
  </si>
  <si>
    <t>Row Labels</t>
  </si>
  <si>
    <t>Grand Total</t>
  </si>
  <si>
    <t>Sum of Total</t>
  </si>
  <si>
    <t>Count of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</si>
</sst>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14" fontId="0" fillId="0" borderId="0" xfId="0" applyNumberFormat="1"/>
    <xf numFmtId="0" fontId="0" fillId="0" borderId="0" xfId="0" applyAlignment="1">
      <alignment horizontal="center" vertical="center"/>
    </xf>
    <xf numFmtId="14" fontId="0" fillId="0" borderId="0" xfId="0" applyNumberFormat="1" applyAlignment="1">
      <alignment horizontal="center" vertical="center"/>
    </xf>
    <xf numFmtId="49" fontId="0" fillId="0" borderId="0" xfId="0" applyNumberFormat="1" applyAlignment="1">
      <alignment horizontal="center" vertical="center"/>
    </xf>
    <xf numFmtId="49" fontId="0" fillId="0" borderId="0" xfId="0" applyNumberFormat="1"/>
    <xf numFmtId="164" fontId="0" fillId="0" borderId="0" xfId="0" applyNumberFormat="1" applyAlignment="1">
      <alignment horizontal="center" vertical="center"/>
    </xf>
    <xf numFmtId="164" fontId="0" fillId="0" borderId="0" xfId="0" applyNumberFormat="1"/>
    <xf numFmtId="1" fontId="0" fillId="0" borderId="0" xfId="0" applyNumberFormat="1" applyAlignment="1">
      <alignment horizontal="center" vertical="center"/>
    </xf>
    <xf numFmtId="1" fontId="0" fillId="0" borderId="0" xfId="0" applyNumberFormat="1"/>
    <xf numFmtId="0" fontId="0" fillId="0" borderId="0" xfId="0" pivotButton="1"/>
    <xf numFmtId="0" fontId="0" fillId="0" borderId="0" xfId="0" applyAlignment="1">
      <alignment horizontal="left"/>
    </xf>
    <xf numFmtId="0" fontId="0" fillId="0" borderId="0" xfId="0" applyNumberFormat="1"/>
    <xf numFmtId="49" fontId="0" fillId="0" borderId="0" xfId="0" applyNumberFormat="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9">
    <dxf>
      <numFmt numFmtId="164" formatCode="&quot;$&quot;#,##0"/>
      <alignment horizontal="center" vertical="center" textRotation="0" wrapText="0" indent="0" justifyLastLine="0" shrinkToFit="0" readingOrder="0"/>
    </dxf>
    <dxf>
      <numFmt numFmtId="30" formatCode="@"/>
      <alignment horizontal="center" vertical="center" textRotation="0" wrapText="0" indent="0" justifyLastLine="0" shrinkToFit="0" readingOrder="0"/>
    </dxf>
    <dxf>
      <numFmt numFmtId="30" formatCode="@"/>
      <alignment horizontal="center" vertical="center" textRotation="0" wrapText="0" indent="0" justifyLastLine="0" shrinkToFit="0" readingOrder="0"/>
    </dxf>
    <dxf>
      <numFmt numFmtId="164" formatCode="&quot;$&quot;#,##0"/>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numFmt numFmtId="30" formatCode="@"/>
      <alignment horizontal="center" vertical="center" textRotation="0" wrapText="0" indent="0" justifyLastLine="0" shrinkToFit="0" readingOrder="0"/>
    </dxf>
    <dxf>
      <numFmt numFmtId="30" formatCode="@"/>
      <alignment horizontal="center" vertical="center" textRotation="0" wrapText="0" indent="0" justifyLastLine="0" shrinkToFit="0" readingOrder="0"/>
    </dxf>
    <dxf>
      <numFmt numFmtId="30" formatCode="@"/>
      <alignment horizontal="center" vertical="center" textRotation="0" wrapText="0" indent="0" justifyLastLine="0" shrinkToFit="0" readingOrder="0"/>
    </dxf>
    <dxf>
      <numFmt numFmtId="30" formatCode="@"/>
      <alignment horizontal="center" vertical="center" textRotation="0" wrapText="0" indent="0" justifyLastLine="0" shrinkToFit="0" readingOrder="0"/>
    </dxf>
    <dxf>
      <numFmt numFmtId="30" formatCode="@"/>
      <alignment horizontal="center" vertical="center" textRotation="0" wrapText="0" indent="0" justifyLastLine="0" shrinkToFit="0" readingOrder="0"/>
    </dxf>
    <dxf>
      <numFmt numFmtId="19" formatCode="m/d/yyyy"/>
      <alignment horizontal="center" vertical="center" textRotation="0" wrapText="0" indent="0" justifyLastLine="0" shrinkToFit="0" readingOrder="0"/>
    </dxf>
    <dxf>
      <numFmt numFmtId="30" formatCode="@"/>
      <alignment horizontal="center" vertical="center" textRotation="0" wrapText="0" indent="0" justifyLastLine="0" shrinkToFit="0" readingOrder="0"/>
    </dxf>
    <dxf>
      <numFmt numFmtId="30" formatCode="@"/>
      <alignment horizontal="center" vertical="center" textRotation="0" wrapText="0" indent="0" justifyLastLine="0" shrinkToFit="0" readingOrder="0"/>
    </dxf>
    <dxf>
      <numFmt numFmtId="30" formatCode="@"/>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m/d/yyyy"/>
      <alignment horizontal="center" vertical="center" textRotation="0" wrapText="0" indent="0" justifyLastLine="0" shrinkToFit="0" readingOrder="0"/>
    </dxf>
    <dxf>
      <numFmt numFmtId="30" formatCode="@"/>
      <alignment horizontal="center" vertical="center" textRotation="0" wrapText="0" indent="0" justifyLastLine="0" shrinkToFit="0" readingOrder="0"/>
    </dxf>
    <dxf>
      <numFmt numFmtId="30" formatCode="@"/>
      <alignment horizontal="center" vertical="center" textRotation="0" wrapText="0" indent="0" justifyLastLine="0" shrinkToFit="0" readingOrder="0"/>
    </dxf>
    <dxf>
      <numFmt numFmtId="30" formatCode="@"/>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[messy_ecommerce_sales_data.xlsx]Insight Engine!PivotTable15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'Insight Engine'!$M$3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394-4CB7-A81C-25D8C95C4B8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394-4CB7-A81C-25D8C95C4B8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394-4CB7-A81C-25D8C95C4B84}"/>
              </c:ext>
            </c:extLst>
          </c:dPt>
          <c:cat>
            <c:strRef>
              <c:f>'Insight Engine'!$L$4:$L$7</c:f>
              <c:strCache>
                <c:ptCount val="3"/>
                <c:pt idx="0">
                  <c:v>2023</c:v>
                </c:pt>
                <c:pt idx="1">
                  <c:v>2024</c:v>
                </c:pt>
                <c:pt idx="2">
                  <c:v>2025</c:v>
                </c:pt>
              </c:strCache>
            </c:strRef>
          </c:cat>
          <c:val>
            <c:numRef>
              <c:f>'Insight Engine'!$M$4:$M$7</c:f>
              <c:numCache>
                <c:formatCode>General</c:formatCode>
                <c:ptCount val="3"/>
                <c:pt idx="0">
                  <c:v>3254</c:v>
                </c:pt>
                <c:pt idx="1">
                  <c:v>18391</c:v>
                </c:pt>
                <c:pt idx="2">
                  <c:v>145261</c:v>
                </c:pt>
              </c:numCache>
            </c:numRef>
          </c:val>
          <c:extLst>
            <c:ext xmlns:c16="http://schemas.microsoft.com/office/drawing/2014/chart" uri="{C3380CC4-5D6E-409C-BE32-E72D297353CC}">
              <c16:uniqueId val="{00000000-1D2E-4724-981A-6838DC89CAE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[messy_ecommerce_sales_data.xlsx]Insight Engine!Total Sales </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'Insight Engine'!$H$3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'Insight Engine'!$G$4:$G$8</c:f>
              <c:strCache>
                <c:ptCount val="4"/>
                <c:pt idx="0">
                  <c:v>Bank Transfer</c:v>
                </c:pt>
                <c:pt idx="1">
                  <c:v>Cash On Delivery</c:v>
                </c:pt>
                <c:pt idx="2">
                  <c:v>Credit Card</c:v>
                </c:pt>
                <c:pt idx="3">
                  <c:v>Paypal</c:v>
                </c:pt>
              </c:strCache>
            </c:strRef>
          </c:cat>
          <c:val>
            <c:numRef>
              <c:f>'Insight Engine'!$H$4:$H$8</c:f>
              <c:numCache>
                <c:formatCode>General</c:formatCode>
                <c:ptCount val="4"/>
                <c:pt idx="0">
                  <c:v>44966</c:v>
                </c:pt>
                <c:pt idx="1">
                  <c:v>66252</c:v>
                </c:pt>
                <c:pt idx="2">
                  <c:v>26535</c:v>
                </c:pt>
                <c:pt idx="3">
                  <c:v>29153</c:v>
                </c:pt>
              </c:numCache>
            </c:numRef>
          </c:val>
          <c:smooth val="0"/>
          <c:extLst>
            <c:ext xmlns:c16="http://schemas.microsoft.com/office/drawing/2014/chart" uri="{C3380CC4-5D6E-409C-BE32-E72D297353CC}">
              <c16:uniqueId val="{00000000-F3D8-4927-9E30-23E21DA9C798}"/>
            </c:ext>
          </c:extLst>
        </c:ser>
        <c:dLbls>
          <c:showLegendKey val="0"/>
          <c:showVal val="0"/>
          <c:showCatName val="0"/>
          <c:showSerName val="0"/>
          <c:showPercent val="0"/>
          <c:showBubbleSize val="0"/>
        </c:dLbls>
        <c:marker val="1"/>
        <c:smooth val="0"/>
        <c:axId val="1077454832"/>
        <c:axId val="1077455816"/>
      </c:lineChart>
      <c:catAx>
        <c:axId val="1077454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7455816"/>
        <c:crosses val="autoZero"/>
        <c:auto val="1"/>
        <c:lblAlgn val="ctr"/>
        <c:lblOffset val="100"/>
        <c:noMultiLvlLbl val="0"/>
      </c:catAx>
      <c:valAx>
        <c:axId val="10774558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7454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[messy_ecommerce_sales_data.xlsx]Insight Engine!PivotTable16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'Insight Engine'!$B$21</c:f>
              <c:strCache>
                <c:ptCount val="1"/>
                <c:pt idx="0">
                  <c:v>Total</c:v>
                </c:pt>
              </c:strCache>
            </c:strRef>
          </c:tx>
          <c:spPr>
            <a:solidFill>
              <a:schemeClr val="accent1"/>
            </a:solidFill>
            <a:ln>
              <a:noFill/>
            </a:ln>
            <a:effectLst/>
          </c:spPr>
          <c:invertIfNegative val="0"/>
          <c:cat>
            <c:strRef>
              <c:f>'Insight Engine'!$A$22:$A$42</c:f>
              <c:strCache>
                <c:ptCount val="20"/>
                <c:pt idx="0">
                  <c:v>Basketball</c:v>
                </c:pt>
                <c:pt idx="1">
                  <c:v>Biography</c:v>
                </c:pt>
                <c:pt idx="2">
                  <c:v>Blender</c:v>
                </c:pt>
                <c:pt idx="3">
                  <c:v>Comics</c:v>
                </c:pt>
                <c:pt idx="4">
                  <c:v>Fiction</c:v>
                </c:pt>
                <c:pt idx="5">
                  <c:v>Football</c:v>
                </c:pt>
                <c:pt idx="6">
                  <c:v>Headphones</c:v>
                </c:pt>
                <c:pt idx="7">
                  <c:v>Jacket</c:v>
                </c:pt>
                <c:pt idx="8">
                  <c:v>Jeans</c:v>
                </c:pt>
                <c:pt idx="9">
                  <c:v>Lamp</c:v>
                </c:pt>
                <c:pt idx="10">
                  <c:v>Laptop</c:v>
                </c:pt>
                <c:pt idx="11">
                  <c:v>Microwave</c:v>
                </c:pt>
                <c:pt idx="12">
                  <c:v>Science</c:v>
                </c:pt>
                <c:pt idx="13">
                  <c:v>Shoes</c:v>
                </c:pt>
                <c:pt idx="14">
                  <c:v>Smartphone</c:v>
                </c:pt>
                <c:pt idx="15">
                  <c:v>Smartwatch</c:v>
                </c:pt>
                <c:pt idx="16">
                  <c:v>Tennis Racket</c:v>
                </c:pt>
                <c:pt idx="17">
                  <c:v>T-Shirt</c:v>
                </c:pt>
                <c:pt idx="18">
                  <c:v>Vacuum</c:v>
                </c:pt>
                <c:pt idx="19">
                  <c:v>Yoga Mat</c:v>
                </c:pt>
              </c:strCache>
            </c:strRef>
          </c:cat>
          <c:val>
            <c:numRef>
              <c:f>'Insight Engine'!$B$22:$B$42</c:f>
              <c:numCache>
                <c:formatCode>General</c:formatCode>
                <c:ptCount val="20"/>
                <c:pt idx="0">
                  <c:v>6977</c:v>
                </c:pt>
                <c:pt idx="1">
                  <c:v>9577</c:v>
                </c:pt>
                <c:pt idx="2">
                  <c:v>28441</c:v>
                </c:pt>
                <c:pt idx="3">
                  <c:v>16304</c:v>
                </c:pt>
                <c:pt idx="4">
                  <c:v>7284</c:v>
                </c:pt>
                <c:pt idx="5">
                  <c:v>5268</c:v>
                </c:pt>
                <c:pt idx="6">
                  <c:v>886</c:v>
                </c:pt>
                <c:pt idx="7">
                  <c:v>3485</c:v>
                </c:pt>
                <c:pt idx="8">
                  <c:v>4154</c:v>
                </c:pt>
                <c:pt idx="9">
                  <c:v>14306</c:v>
                </c:pt>
                <c:pt idx="10">
                  <c:v>2993</c:v>
                </c:pt>
                <c:pt idx="11">
                  <c:v>5989</c:v>
                </c:pt>
                <c:pt idx="12">
                  <c:v>8006</c:v>
                </c:pt>
                <c:pt idx="13">
                  <c:v>19139</c:v>
                </c:pt>
                <c:pt idx="14">
                  <c:v>5104</c:v>
                </c:pt>
                <c:pt idx="15">
                  <c:v>3425</c:v>
                </c:pt>
                <c:pt idx="16">
                  <c:v>7327</c:v>
                </c:pt>
                <c:pt idx="17">
                  <c:v>8231</c:v>
                </c:pt>
                <c:pt idx="18">
                  <c:v>4062</c:v>
                </c:pt>
                <c:pt idx="19">
                  <c:v>5948</c:v>
                </c:pt>
              </c:numCache>
            </c:numRef>
          </c:val>
          <c:extLst>
            <c:ext xmlns:c16="http://schemas.microsoft.com/office/drawing/2014/chart" uri="{C3380CC4-5D6E-409C-BE32-E72D297353CC}">
              <c16:uniqueId val="{00000000-4534-486B-B14A-5C1A3311E48C}"/>
            </c:ext>
          </c:extLst>
        </c:ser>
        <c:dLbls>
          <c:showLegendKey val="0"/>
          <c:showVal val="0"/>
          <c:showCatName val="0"/>
          <c:showSerName val="0"/>
          <c:showPercent val="0"/>
          <c:showBubbleSize val="0"/>
        </c:dLbls>
        <c:gapWidth val="219"/>
        <c:overlap val="-27"/>
        <c:axId val="656180560"/>
        <c:axId val="656179904"/>
      </c:barChart>
      <c:catAx>
        <c:axId val="656180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6179904"/>
        <c:crosses val="autoZero"/>
        <c:auto val="1"/>
        <c:lblAlgn val="ctr"/>
        <c:lblOffset val="100"/>
        <c:noMultiLvlLbl val="0"/>
      </c:catAx>
      <c:valAx>
        <c:axId val="6561799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61805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[messy_ecommerce_sales_data.xlsx]Insight Engine!PivotTable15</c:name>
    <c:fmtId val="4"/>
  </c:pivotSource>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r>
              <a:rPr lang="en-US" sz="2000" b="1" i="0" u="none" strike="noStrike" baseline="0">
                <a:solidFill>
                  <a:schemeClr val="bg1"/>
                </a:solidFill>
              </a:rPr>
              <a:t>Annual Growth</a:t>
            </a:r>
            <a:endParaRPr lang="en-US" sz="2000" b="1">
              <a:solidFill>
                <a:schemeClr val="bg1"/>
              </a:solidFill>
              <a:effectLst/>
            </a:endParaRP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solidFill>
          <a:ln w="19050">
            <a:solidFill>
              <a:schemeClr val="bg1"/>
            </a:solidFill>
          </a:ln>
          <a:effectLst/>
        </c:spPr>
        <c:dLbl>
          <c:idx val="0"/>
          <c:layout>
            <c:manualLayout>
              <c:x val="-3.2405520047750588E-2"/>
              <c:y val="-0.100740748575153"/>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B0F0"/>
          </a:solidFill>
          <a:ln w="19050">
            <a:solidFill>
              <a:schemeClr val="lt1"/>
            </a:solidFill>
          </a:ln>
          <a:effectLst/>
        </c:spPr>
        <c:dLbl>
          <c:idx val="0"/>
          <c:layout>
            <c:manualLayout>
              <c:x val="6.4811040095501093E-2"/>
              <c:y val="-7.5555561431364743E-2"/>
            </c:manualLayout>
          </c:layout>
          <c:tx>
            <c:rich>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fld id="{467B49D2-3D90-42F0-9FC9-A4571FB37140}" type="VALUE">
                  <a:rPr lang="en-US" sz="1400"/>
                  <a:pPr>
                    <a:defRPr sz="1400">
                      <a:solidFill>
                        <a:schemeClr val="bg1"/>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solidFill>
            <a:schemeClr val="accent2"/>
          </a:solidFill>
          <a:ln w="19050">
            <a:solidFill>
              <a:schemeClr val="lt1"/>
            </a:solidFill>
          </a:ln>
          <a:effectLst/>
        </c:spPr>
        <c:dLbl>
          <c:idx val="0"/>
          <c:layout>
            <c:manualLayout>
              <c:x val="-5.4840110850039432E-2"/>
              <c:y val="8.8148155003258871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'Insight Engine'!$M$3</c:f>
              <c:strCache>
                <c:ptCount val="1"/>
                <c:pt idx="0">
                  <c:v>Total</c:v>
                </c:pt>
              </c:strCache>
            </c:strRef>
          </c:tx>
          <c:explosion val="13"/>
          <c:dPt>
            <c:idx val="0"/>
            <c:bubble3D val="0"/>
            <c:spPr>
              <a:solidFill>
                <a:schemeClr val="accent4"/>
              </a:solidFill>
              <a:ln w="19050">
                <a:solidFill>
                  <a:schemeClr val="bg1"/>
                </a:solidFill>
              </a:ln>
              <a:effectLst/>
            </c:spPr>
            <c:extLst>
              <c:ext xmlns:c16="http://schemas.microsoft.com/office/drawing/2014/chart" uri="{C3380CC4-5D6E-409C-BE32-E72D297353CC}">
                <c16:uniqueId val="{00000001-631C-4804-A0C3-E0DE38ED5689}"/>
              </c:ext>
            </c:extLst>
          </c:dPt>
          <c:dPt>
            <c:idx val="1"/>
            <c:bubble3D val="0"/>
            <c:spPr>
              <a:solidFill>
                <a:srgbClr val="00B0F0"/>
              </a:solidFill>
              <a:ln w="19050">
                <a:solidFill>
                  <a:schemeClr val="lt1"/>
                </a:solidFill>
              </a:ln>
              <a:effectLst/>
            </c:spPr>
            <c:extLst>
              <c:ext xmlns:c16="http://schemas.microsoft.com/office/drawing/2014/chart" uri="{C3380CC4-5D6E-409C-BE32-E72D297353CC}">
                <c16:uniqueId val="{00000003-631C-4804-A0C3-E0DE38ED5689}"/>
              </c:ext>
            </c:extLst>
          </c:dPt>
          <c:dPt>
            <c:idx val="2"/>
            <c:bubble3D val="0"/>
            <c:spPr>
              <a:solidFill>
                <a:schemeClr val="accent2"/>
              </a:solidFill>
              <a:ln w="19050">
                <a:solidFill>
                  <a:schemeClr val="lt1"/>
                </a:solidFill>
              </a:ln>
              <a:effectLst/>
            </c:spPr>
            <c:extLst>
              <c:ext xmlns:c16="http://schemas.microsoft.com/office/drawing/2014/chart" uri="{C3380CC4-5D6E-409C-BE32-E72D297353CC}">
                <c16:uniqueId val="{00000005-631C-4804-A0C3-E0DE38ED5689}"/>
              </c:ext>
            </c:extLst>
          </c:dPt>
          <c:dLbls>
            <c:dLbl>
              <c:idx val="0"/>
              <c:layout>
                <c:manualLayout>
                  <c:x val="-3.2405520047750588E-2"/>
                  <c:y val="-0.10074074857515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31C-4804-A0C3-E0DE38ED5689}"/>
                </c:ext>
              </c:extLst>
            </c:dLbl>
            <c:dLbl>
              <c:idx val="1"/>
              <c:layout>
                <c:manualLayout>
                  <c:x val="6.4811040095501093E-2"/>
                  <c:y val="-7.5555561431364743E-2"/>
                </c:manualLayout>
              </c:layout>
              <c:tx>
                <c:rich>
                  <a:bodyPr/>
                  <a:lstStyle/>
                  <a:p>
                    <a:fld id="{467B49D2-3D90-42F0-9FC9-A4571FB37140}" type="VALUE">
                      <a:rPr lang="en-US" sz="1400"/>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631C-4804-A0C3-E0DE38ED5689}"/>
                </c:ext>
              </c:extLst>
            </c:dLbl>
            <c:dLbl>
              <c:idx val="2"/>
              <c:layout>
                <c:manualLayout>
                  <c:x val="-5.4840110850039432E-2"/>
                  <c:y val="8.814815500325887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31C-4804-A0C3-E0DE38ED5689}"/>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bg1"/>
                  </a:solidFill>
                  <a:round/>
                </a:ln>
                <a:effectLst/>
              </c:spPr>
            </c:leaderLines>
            <c:extLst>
              <c:ext xmlns:c15="http://schemas.microsoft.com/office/drawing/2012/chart" uri="{CE6537A1-D6FC-4f65-9D91-7224C49458BB}"/>
            </c:extLst>
          </c:dLbls>
          <c:cat>
            <c:strRef>
              <c:f>'Insight Engine'!$L$4:$L$7</c:f>
              <c:strCache>
                <c:ptCount val="3"/>
                <c:pt idx="0">
                  <c:v>2023</c:v>
                </c:pt>
                <c:pt idx="1">
                  <c:v>2024</c:v>
                </c:pt>
                <c:pt idx="2">
                  <c:v>2025</c:v>
                </c:pt>
              </c:strCache>
            </c:strRef>
          </c:cat>
          <c:val>
            <c:numRef>
              <c:f>'Insight Engine'!$M$4:$M$7</c:f>
              <c:numCache>
                <c:formatCode>General</c:formatCode>
                <c:ptCount val="3"/>
                <c:pt idx="0">
                  <c:v>3254</c:v>
                </c:pt>
                <c:pt idx="1">
                  <c:v>18391</c:v>
                </c:pt>
                <c:pt idx="2">
                  <c:v>145261</c:v>
                </c:pt>
              </c:numCache>
            </c:numRef>
          </c:val>
          <c:extLst>
            <c:ext xmlns:c16="http://schemas.microsoft.com/office/drawing/2014/chart" uri="{C3380CC4-5D6E-409C-BE32-E72D297353CC}">
              <c16:uniqueId val="{00000006-631C-4804-A0C3-E0DE38ED5689}"/>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egendEntry>
        <c:idx val="0"/>
        <c:txPr>
          <a:bodyPr rot="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n-US"/>
          </a:p>
        </c:txPr>
      </c:legendEntry>
      <c:legendEntry>
        <c:idx val="1"/>
        <c:txPr>
          <a:bodyPr rot="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n-US"/>
          </a:p>
        </c:txPr>
      </c:legendEntry>
      <c:legendEntry>
        <c:idx val="2"/>
        <c:txPr>
          <a:bodyPr rot="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[messy_ecommerce_sales_data.xlsx]Insight Engine!Total Sales </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2000" b="1" i="0" u="none" strike="noStrike" kern="1200" spc="0" baseline="0">
                <a:solidFill>
                  <a:sysClr val="windowText" lastClr="000000">
                    <a:lumMod val="65000"/>
                    <a:lumOff val="35000"/>
                  </a:sysClr>
                </a:solidFill>
                <a:latin typeface="+mn-lt"/>
                <a:ea typeface="+mn-ea"/>
                <a:cs typeface="+mn-cs"/>
              </a:defRPr>
            </a:pPr>
            <a:r>
              <a:rPr lang="en-US" sz="2000" b="1" i="0" u="none" strike="noStrike" baseline="0">
                <a:solidFill>
                  <a:schemeClr val="bg1"/>
                </a:solidFill>
              </a:rPr>
              <a:t>Transaction Flow</a:t>
            </a:r>
            <a:endParaRPr lang="en-US" sz="2000" b="1">
              <a:solidFill>
                <a:schemeClr val="bg1"/>
              </a:solidFill>
              <a:effectLst/>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20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solidFill>
            <a:round/>
          </a:ln>
          <a:effectLst/>
        </c:spPr>
        <c:marker>
          <c:symbol val="circle"/>
          <c:size val="5"/>
          <c:spPr>
            <a:solidFill>
              <a:schemeClr val="accent2"/>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bg1"/>
            </a:solidFill>
            <a:round/>
          </a:ln>
          <a:effectLst/>
        </c:spPr>
        <c:marker>
          <c:symbol val="circle"/>
          <c:size val="5"/>
          <c:spPr>
            <a:solidFill>
              <a:schemeClr val="accent2"/>
            </a:solidFill>
            <a:ln w="9525">
              <a:solidFill>
                <a:schemeClr val="accent1"/>
              </a:solidFill>
            </a:ln>
            <a:effectLst/>
          </c:spPr>
        </c:marker>
        <c:dLbl>
          <c:idx val="0"/>
          <c:layout>
            <c:manualLayout>
              <c:x val="-2.3744714348330174E-2"/>
              <c:y val="-8.6008143282649274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bg1"/>
            </a:solidFill>
            <a:round/>
          </a:ln>
          <a:effectLst/>
        </c:spPr>
        <c:marker>
          <c:symbol val="circle"/>
          <c:size val="5"/>
          <c:spPr>
            <a:solidFill>
              <a:schemeClr val="accent2"/>
            </a:solidFill>
            <a:ln w="9525">
              <a:solidFill>
                <a:schemeClr val="accent1"/>
              </a:solidFill>
            </a:ln>
            <a:effectLst/>
          </c:spPr>
        </c:marker>
        <c:dLbl>
          <c:idx val="0"/>
          <c:layout>
            <c:manualLayout>
              <c:x val="-6.0463344783892065E-2"/>
              <c:y val="-7.3908499380568135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'Insight Engine'!$H$3</c:f>
              <c:strCache>
                <c:ptCount val="1"/>
                <c:pt idx="0">
                  <c:v>Total</c:v>
                </c:pt>
              </c:strCache>
            </c:strRef>
          </c:tx>
          <c:spPr>
            <a:ln w="28575" cap="rnd">
              <a:solidFill>
                <a:schemeClr val="bg1"/>
              </a:solidFill>
              <a:round/>
            </a:ln>
            <a:effectLst/>
          </c:spPr>
          <c:marker>
            <c:symbol val="circle"/>
            <c:size val="5"/>
            <c:spPr>
              <a:solidFill>
                <a:schemeClr val="accent2"/>
              </a:solidFill>
              <a:ln w="9525">
                <a:solidFill>
                  <a:schemeClr val="accent1"/>
                </a:solidFill>
              </a:ln>
              <a:effectLst/>
            </c:spPr>
          </c:marker>
          <c:dPt>
            <c:idx val="0"/>
            <c:marker>
              <c:symbol val="circle"/>
              <c:size val="5"/>
              <c:spPr>
                <a:solidFill>
                  <a:schemeClr val="accent2"/>
                </a:solidFill>
                <a:ln w="9525">
                  <a:solidFill>
                    <a:schemeClr val="accent1"/>
                  </a:solidFill>
                </a:ln>
                <a:effectLst/>
              </c:spPr>
            </c:marker>
            <c:bubble3D val="0"/>
            <c:spPr>
              <a:ln w="28575" cap="rnd">
                <a:solidFill>
                  <a:schemeClr val="bg1"/>
                </a:solidFill>
                <a:round/>
              </a:ln>
              <a:effectLst/>
            </c:spPr>
            <c:extLst>
              <c:ext xmlns:c16="http://schemas.microsoft.com/office/drawing/2014/chart" uri="{C3380CC4-5D6E-409C-BE32-E72D297353CC}">
                <c16:uniqueId val="{00000003-8886-45C5-AB0D-97695B26AFA5}"/>
              </c:ext>
            </c:extLst>
          </c:dPt>
          <c:dPt>
            <c:idx val="2"/>
            <c:marker>
              <c:symbol val="circle"/>
              <c:size val="5"/>
              <c:spPr>
                <a:solidFill>
                  <a:schemeClr val="accent2"/>
                </a:solidFill>
                <a:ln w="9525">
                  <a:solidFill>
                    <a:schemeClr val="accent1"/>
                  </a:solidFill>
                </a:ln>
                <a:effectLst/>
              </c:spPr>
            </c:marker>
            <c:bubble3D val="0"/>
            <c:spPr>
              <a:ln w="28575" cap="rnd">
                <a:solidFill>
                  <a:schemeClr val="bg1"/>
                </a:solidFill>
                <a:round/>
              </a:ln>
              <a:effectLst/>
            </c:spPr>
            <c:extLst>
              <c:ext xmlns:c16="http://schemas.microsoft.com/office/drawing/2014/chart" uri="{C3380CC4-5D6E-409C-BE32-E72D297353CC}">
                <c16:uniqueId val="{00000002-8886-45C5-AB0D-97695B26AFA5}"/>
              </c:ext>
            </c:extLst>
          </c:dPt>
          <c:dLbls>
            <c:dLbl>
              <c:idx val="0"/>
              <c:layout>
                <c:manualLayout>
                  <c:x val="-6.0463344783892065E-2"/>
                  <c:y val="-7.390849938056813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886-45C5-AB0D-97695B26AFA5}"/>
                </c:ext>
              </c:extLst>
            </c:dLbl>
            <c:dLbl>
              <c:idx val="2"/>
              <c:layout>
                <c:manualLayout>
                  <c:x val="-2.3744714348330174E-2"/>
                  <c:y val="-8.600814328264927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886-45C5-AB0D-97695B26AFA5}"/>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'Insight Engine'!$G$4:$G$8</c:f>
              <c:strCache>
                <c:ptCount val="4"/>
                <c:pt idx="0">
                  <c:v>Bank Transfer</c:v>
                </c:pt>
                <c:pt idx="1">
                  <c:v>Cash On Delivery</c:v>
                </c:pt>
                <c:pt idx="2">
                  <c:v>Credit Card</c:v>
                </c:pt>
                <c:pt idx="3">
                  <c:v>Paypal</c:v>
                </c:pt>
              </c:strCache>
            </c:strRef>
          </c:cat>
          <c:val>
            <c:numRef>
              <c:f>'Insight Engine'!$H$4:$H$8</c:f>
              <c:numCache>
                <c:formatCode>General</c:formatCode>
                <c:ptCount val="4"/>
                <c:pt idx="0">
                  <c:v>44966</c:v>
                </c:pt>
                <c:pt idx="1">
                  <c:v>66252</c:v>
                </c:pt>
                <c:pt idx="2">
                  <c:v>26535</c:v>
                </c:pt>
                <c:pt idx="3">
                  <c:v>29153</c:v>
                </c:pt>
              </c:numCache>
            </c:numRef>
          </c:val>
          <c:smooth val="0"/>
          <c:extLst>
            <c:ext xmlns:c16="http://schemas.microsoft.com/office/drawing/2014/chart" uri="{C3380CC4-5D6E-409C-BE32-E72D297353CC}">
              <c16:uniqueId val="{00000000-8886-45C5-AB0D-97695B26AFA5}"/>
            </c:ext>
          </c:extLst>
        </c:ser>
        <c:dLbls>
          <c:dLblPos val="t"/>
          <c:showLegendKey val="0"/>
          <c:showVal val="1"/>
          <c:showCatName val="0"/>
          <c:showSerName val="0"/>
          <c:showPercent val="0"/>
          <c:showBubbleSize val="0"/>
        </c:dLbls>
        <c:marker val="1"/>
        <c:smooth val="0"/>
        <c:axId val="1077454832"/>
        <c:axId val="1077455816"/>
      </c:lineChart>
      <c:catAx>
        <c:axId val="1077454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en-US"/>
          </a:p>
        </c:txPr>
        <c:crossAx val="1077455816"/>
        <c:crosses val="autoZero"/>
        <c:auto val="1"/>
        <c:lblAlgn val="ctr"/>
        <c:lblOffset val="100"/>
        <c:noMultiLvlLbl val="0"/>
      </c:catAx>
      <c:valAx>
        <c:axId val="10774558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en-US"/>
          </a:p>
        </c:txPr>
        <c:crossAx val="1077454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[messy_ecommerce_sales_data.xlsx]Insight Engine!PivotTable16</c:name>
    <c:fmtId val="3"/>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2000" b="1" i="0" u="none" strike="noStrike" baseline="0">
                <a:solidFill>
                  <a:schemeClr val="bg1"/>
                </a:solidFill>
              </a:rPr>
              <a:t>Product Performance</a:t>
            </a:r>
            <a:endParaRPr lang="en-US" sz="2000" b="1">
              <a:solidFill>
                <a:schemeClr val="bg1"/>
              </a:solidFill>
            </a:endParaRPr>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'Insight Engine'!$B$21</c:f>
              <c:strCache>
                <c:ptCount val="1"/>
                <c:pt idx="0">
                  <c:v>Total</c:v>
                </c:pt>
              </c:strCache>
            </c:strRef>
          </c:tx>
          <c:spPr>
            <a:solidFill>
              <a:schemeClr val="bg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'Insight Engine'!$A$22:$A$42</c:f>
              <c:strCache>
                <c:ptCount val="20"/>
                <c:pt idx="0">
                  <c:v>Basketball</c:v>
                </c:pt>
                <c:pt idx="1">
                  <c:v>Biography</c:v>
                </c:pt>
                <c:pt idx="2">
                  <c:v>Blender</c:v>
                </c:pt>
                <c:pt idx="3">
                  <c:v>Comics</c:v>
                </c:pt>
                <c:pt idx="4">
                  <c:v>Fiction</c:v>
                </c:pt>
                <c:pt idx="5">
                  <c:v>Football</c:v>
                </c:pt>
                <c:pt idx="6">
                  <c:v>Headphones</c:v>
                </c:pt>
                <c:pt idx="7">
                  <c:v>Jacket</c:v>
                </c:pt>
                <c:pt idx="8">
                  <c:v>Jeans</c:v>
                </c:pt>
                <c:pt idx="9">
                  <c:v>Lamp</c:v>
                </c:pt>
                <c:pt idx="10">
                  <c:v>Laptop</c:v>
                </c:pt>
                <c:pt idx="11">
                  <c:v>Microwave</c:v>
                </c:pt>
                <c:pt idx="12">
                  <c:v>Science</c:v>
                </c:pt>
                <c:pt idx="13">
                  <c:v>Shoes</c:v>
                </c:pt>
                <c:pt idx="14">
                  <c:v>Smartphone</c:v>
                </c:pt>
                <c:pt idx="15">
                  <c:v>Smartwatch</c:v>
                </c:pt>
                <c:pt idx="16">
                  <c:v>Tennis Racket</c:v>
                </c:pt>
                <c:pt idx="17">
                  <c:v>T-Shirt</c:v>
                </c:pt>
                <c:pt idx="18">
                  <c:v>Vacuum</c:v>
                </c:pt>
                <c:pt idx="19">
                  <c:v>Yoga Mat</c:v>
                </c:pt>
              </c:strCache>
            </c:strRef>
          </c:cat>
          <c:val>
            <c:numRef>
              <c:f>'Insight Engine'!$B$22:$B$42</c:f>
              <c:numCache>
                <c:formatCode>General</c:formatCode>
                <c:ptCount val="20"/>
                <c:pt idx="0">
                  <c:v>6977</c:v>
                </c:pt>
                <c:pt idx="1">
                  <c:v>9577</c:v>
                </c:pt>
                <c:pt idx="2">
                  <c:v>28441</c:v>
                </c:pt>
                <c:pt idx="3">
                  <c:v>16304</c:v>
                </c:pt>
                <c:pt idx="4">
                  <c:v>7284</c:v>
                </c:pt>
                <c:pt idx="5">
                  <c:v>5268</c:v>
                </c:pt>
                <c:pt idx="6">
                  <c:v>886</c:v>
                </c:pt>
                <c:pt idx="7">
                  <c:v>3485</c:v>
                </c:pt>
                <c:pt idx="8">
                  <c:v>4154</c:v>
                </c:pt>
                <c:pt idx="9">
                  <c:v>14306</c:v>
                </c:pt>
                <c:pt idx="10">
                  <c:v>2993</c:v>
                </c:pt>
                <c:pt idx="11">
                  <c:v>5989</c:v>
                </c:pt>
                <c:pt idx="12">
                  <c:v>8006</c:v>
                </c:pt>
                <c:pt idx="13">
                  <c:v>19139</c:v>
                </c:pt>
                <c:pt idx="14">
                  <c:v>5104</c:v>
                </c:pt>
                <c:pt idx="15">
                  <c:v>3425</c:v>
                </c:pt>
                <c:pt idx="16">
                  <c:v>7327</c:v>
                </c:pt>
                <c:pt idx="17">
                  <c:v>8231</c:v>
                </c:pt>
                <c:pt idx="18">
                  <c:v>4062</c:v>
                </c:pt>
                <c:pt idx="19">
                  <c:v>5948</c:v>
                </c:pt>
              </c:numCache>
            </c:numRef>
          </c:val>
          <c:extLst>
            <c:ext xmlns:c16="http://schemas.microsoft.com/office/drawing/2014/chart" uri="{C3380CC4-5D6E-409C-BE32-E72D297353CC}">
              <c16:uniqueId val="{00000000-4EA4-440E-9CD2-18C7EE12BD36}"/>
            </c:ext>
          </c:extLst>
        </c:ser>
        <c:dLbls>
          <c:dLblPos val="outEnd"/>
          <c:showLegendKey val="0"/>
          <c:showVal val="1"/>
          <c:showCatName val="0"/>
          <c:showSerName val="0"/>
          <c:showPercent val="0"/>
          <c:showBubbleSize val="0"/>
        </c:dLbls>
        <c:gapWidth val="219"/>
        <c:overlap val="-27"/>
        <c:axId val="656180560"/>
        <c:axId val="656179904"/>
      </c:barChart>
      <c:catAx>
        <c:axId val="656180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en-US"/>
          </a:p>
        </c:txPr>
        <c:crossAx val="656179904"/>
        <c:crosses val="autoZero"/>
        <c:auto val="1"/>
        <c:lblAlgn val="ctr"/>
        <c:lblOffset val="100"/>
        <c:noMultiLvlLbl val="0"/>
      </c:catAx>
      <c:valAx>
        <c:axId val="6561799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en-US"/>
          </a:p>
        </c:txPr>
        <c:crossAx val="6561805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Pre-Processing'!A1"/><Relationship Id="rId3" Type="http://schemas.openxmlformats.org/officeDocument/2006/relationships/image" Target="../media/image3.png"/><Relationship Id="rId7" Type="http://schemas.openxmlformats.org/officeDocument/2006/relationships/chart" Target="../charts/chart6.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5.xml"/><Relationship Id="rId11" Type="http://schemas.openxmlformats.org/officeDocument/2006/relationships/image" Target="../media/image5.png"/><Relationship Id="rId5" Type="http://schemas.openxmlformats.org/officeDocument/2006/relationships/chart" Target="../charts/chart4.xml"/><Relationship Id="rId10" Type="http://schemas.openxmlformats.org/officeDocument/2006/relationships/hyperlink" Target="#'Insight Engine'!A1"/><Relationship Id="rId4" Type="http://schemas.openxmlformats.org/officeDocument/2006/relationships/image" Target="../media/image4.png"/><Relationship Id="rId9" Type="http://schemas.openxmlformats.org/officeDocument/2006/relationships/hyperlink" Target="#'Validated Set'!A1"/></Relationships>
</file>

<file path=xl/drawings/drawing1.xml><?xml version="1.0" encoding="utf-8"?>
<xdr:wsDr xmlns:xdr="http://schemas.openxmlformats.org/drawingml/2006/spreadsheetDrawing" xmlns:a="http://schemas.openxmlformats.org/drawingml/2006/main">
  <xdr:twoCellAnchor>
    <xdr:from>
      <xdr:col>13</xdr:col>
      <xdr:colOff>381000</xdr:colOff>
      <xdr:row>2</xdr:row>
      <xdr:rowOff>98106</xdr:rowOff>
    </xdr:from>
    <xdr:to>
      <xdr:col>19</xdr:col>
      <xdr:colOff>28575</xdr:colOff>
      <xdr:row>12</xdr:row>
      <xdr:rowOff>176211</xdr:rowOff>
    </xdr:to>
    <xdr:graphicFrame macro="">
      <xdr:nvGraphicFramePr>
        <xdr:cNvPr id="2" name="Chart 1">
          <a:extLst>
            <a:ext uri="{FF2B5EF4-FFF2-40B4-BE49-F238E27FC236}">
              <a16:creationId xmlns:a16="http://schemas.microsoft.com/office/drawing/2014/main" id="{8727D48D-7CC3-4CF8-BA83-C728E0773A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590550</xdr:colOff>
      <xdr:row>16</xdr:row>
      <xdr:rowOff>155256</xdr:rowOff>
    </xdr:from>
    <xdr:to>
      <xdr:col>11</xdr:col>
      <xdr:colOff>666750</xdr:colOff>
      <xdr:row>28</xdr:row>
      <xdr:rowOff>138111</xdr:rowOff>
    </xdr:to>
    <xdr:graphicFrame macro="">
      <xdr:nvGraphicFramePr>
        <xdr:cNvPr id="3" name="Chart 2">
          <a:extLst>
            <a:ext uri="{FF2B5EF4-FFF2-40B4-BE49-F238E27FC236}">
              <a16:creationId xmlns:a16="http://schemas.microsoft.com/office/drawing/2014/main" id="{F50656CD-CEC1-4D1B-8743-D5FF5D41FC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504825</xdr:colOff>
      <xdr:row>29</xdr:row>
      <xdr:rowOff>4762</xdr:rowOff>
    </xdr:from>
    <xdr:to>
      <xdr:col>12</xdr:col>
      <xdr:colOff>495300</xdr:colOff>
      <xdr:row>43</xdr:row>
      <xdr:rowOff>80962</xdr:rowOff>
    </xdr:to>
    <xdr:graphicFrame macro="">
      <xdr:nvGraphicFramePr>
        <xdr:cNvPr id="4" name="Chart 3">
          <a:extLst>
            <a:ext uri="{FF2B5EF4-FFF2-40B4-BE49-F238E27FC236}">
              <a16:creationId xmlns:a16="http://schemas.microsoft.com/office/drawing/2014/main" id="{1DB3B819-914C-4482-B840-9860BB6DEC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12</xdr:col>
      <xdr:colOff>771525</xdr:colOff>
      <xdr:row>16</xdr:row>
      <xdr:rowOff>171450</xdr:rowOff>
    </xdr:from>
    <xdr:to>
      <xdr:col>15</xdr:col>
      <xdr:colOff>581025</xdr:colOff>
      <xdr:row>30</xdr:row>
      <xdr:rowOff>28575</xdr:rowOff>
    </xdr:to>
    <mc:AlternateContent xmlns:mc="http://schemas.openxmlformats.org/markup-compatibility/2006" xmlns:a14="http://schemas.microsoft.com/office/drawing/2010/main">
      <mc:Choice Requires="a14">
        <xdr:graphicFrame macro="">
          <xdr:nvGraphicFramePr>
            <xdr:cNvPr id="5" name="Year">
              <a:extLst>
                <a:ext uri="{FF2B5EF4-FFF2-40B4-BE49-F238E27FC236}">
                  <a16:creationId xmlns:a16="http://schemas.microsoft.com/office/drawing/2014/main" id="{127AAAF7-1EDC-4E1A-A536-FE165EC6F1F5}"/>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9696450" y="32194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314325</xdr:colOff>
      <xdr:row>16</xdr:row>
      <xdr:rowOff>161925</xdr:rowOff>
    </xdr:from>
    <xdr:to>
      <xdr:col>19</xdr:col>
      <xdr:colOff>314325</xdr:colOff>
      <xdr:row>30</xdr:row>
      <xdr:rowOff>19050</xdr:rowOff>
    </xdr:to>
    <mc:AlternateContent xmlns:mc="http://schemas.openxmlformats.org/markup-compatibility/2006" xmlns:a14="http://schemas.microsoft.com/office/drawing/2010/main">
      <mc:Choice Requires="a14">
        <xdr:graphicFrame macro="">
          <xdr:nvGraphicFramePr>
            <xdr:cNvPr id="7" name="Category">
              <a:extLst>
                <a:ext uri="{FF2B5EF4-FFF2-40B4-BE49-F238E27FC236}">
                  <a16:creationId xmlns:a16="http://schemas.microsoft.com/office/drawing/2014/main" id="{F87819C0-7A2D-436E-B101-6A2AD9B0AA0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1868150" y="32099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203945</xdr:colOff>
      <xdr:row>14</xdr:row>
      <xdr:rowOff>26894</xdr:rowOff>
    </xdr:from>
    <xdr:to>
      <xdr:col>29</xdr:col>
      <xdr:colOff>485774</xdr:colOff>
      <xdr:row>49</xdr:row>
      <xdr:rowOff>35228</xdr:rowOff>
    </xdr:to>
    <xdr:pic>
      <xdr:nvPicPr>
        <xdr:cNvPr id="7" name="Picture 6">
          <a:extLst>
            <a:ext uri="{FF2B5EF4-FFF2-40B4-BE49-F238E27FC236}">
              <a16:creationId xmlns:a16="http://schemas.microsoft.com/office/drawing/2014/main" id="{F24D9D30-98C0-477D-B384-32D8F1FD024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09063" y="2693894"/>
          <a:ext cx="17225123" cy="6675834"/>
        </a:xfrm>
        <a:prstGeom prst="rect">
          <a:avLst/>
        </a:prstGeom>
      </xdr:spPr>
    </xdr:pic>
    <xdr:clientData/>
  </xdr:twoCellAnchor>
  <xdr:twoCellAnchor editAs="oneCell">
    <xdr:from>
      <xdr:col>1</xdr:col>
      <xdr:colOff>99732</xdr:colOff>
      <xdr:row>15</xdr:row>
      <xdr:rowOff>120465</xdr:rowOff>
    </xdr:from>
    <xdr:to>
      <xdr:col>6</xdr:col>
      <xdr:colOff>28576</xdr:colOff>
      <xdr:row>25</xdr:row>
      <xdr:rowOff>62366</xdr:rowOff>
    </xdr:to>
    <xdr:pic>
      <xdr:nvPicPr>
        <xdr:cNvPr id="9" name="Picture 8">
          <a:extLst>
            <a:ext uri="{FF2B5EF4-FFF2-40B4-BE49-F238E27FC236}">
              <a16:creationId xmlns:a16="http://schemas.microsoft.com/office/drawing/2014/main" id="{853DB000-9047-4F68-8530-2DAED0120BC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09332" y="2977965"/>
          <a:ext cx="2976844" cy="1846901"/>
        </a:xfrm>
        <a:prstGeom prst="rect">
          <a:avLst/>
        </a:prstGeom>
      </xdr:spPr>
    </xdr:pic>
    <xdr:clientData/>
  </xdr:twoCellAnchor>
  <xdr:twoCellAnchor editAs="oneCell">
    <xdr:from>
      <xdr:col>5</xdr:col>
      <xdr:colOff>152081</xdr:colOff>
      <xdr:row>13</xdr:row>
      <xdr:rowOff>78441</xdr:rowOff>
    </xdr:from>
    <xdr:to>
      <xdr:col>13</xdr:col>
      <xdr:colOff>32860</xdr:colOff>
      <xdr:row>29</xdr:row>
      <xdr:rowOff>67236</xdr:rowOff>
    </xdr:to>
    <xdr:pic>
      <xdr:nvPicPr>
        <xdr:cNvPr id="26" name="Picture 25">
          <a:extLst>
            <a:ext uri="{FF2B5EF4-FFF2-40B4-BE49-F238E27FC236}">
              <a16:creationId xmlns:a16="http://schemas.microsoft.com/office/drawing/2014/main" id="{9D8C1C55-2D5B-4808-8044-F5EB2830CE1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177669" y="2554941"/>
          <a:ext cx="4721720" cy="3036795"/>
        </a:xfrm>
        <a:prstGeom prst="rect">
          <a:avLst/>
        </a:prstGeom>
      </xdr:spPr>
    </xdr:pic>
    <xdr:clientData/>
  </xdr:twoCellAnchor>
  <xdr:twoCellAnchor>
    <xdr:from>
      <xdr:col>7</xdr:col>
      <xdr:colOff>179294</xdr:colOff>
      <xdr:row>21</xdr:row>
      <xdr:rowOff>1</xdr:rowOff>
    </xdr:from>
    <xdr:to>
      <xdr:col>11</xdr:col>
      <xdr:colOff>22412</xdr:colOff>
      <xdr:row>23</xdr:row>
      <xdr:rowOff>156883</xdr:rowOff>
    </xdr:to>
    <xdr:sp macro="" textlink="">
      <xdr:nvSpPr>
        <xdr:cNvPr id="27" name="TextBox 26">
          <a:extLst>
            <a:ext uri="{FF2B5EF4-FFF2-40B4-BE49-F238E27FC236}">
              <a16:creationId xmlns:a16="http://schemas.microsoft.com/office/drawing/2014/main" id="{51D49932-AF29-42F8-9ABA-7E391DE07C57}"/>
            </a:ext>
          </a:extLst>
        </xdr:cNvPr>
        <xdr:cNvSpPr txBox="1"/>
      </xdr:nvSpPr>
      <xdr:spPr>
        <a:xfrm>
          <a:off x="4415118" y="4000501"/>
          <a:ext cx="2263588" cy="5378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b="1">
              <a:solidFill>
                <a:schemeClr val="bg1"/>
              </a:solidFill>
            </a:rPr>
            <a:t>Total Sales</a:t>
          </a:r>
        </a:p>
      </xdr:txBody>
    </xdr:sp>
    <xdr:clientData/>
  </xdr:twoCellAnchor>
  <xdr:twoCellAnchor>
    <xdr:from>
      <xdr:col>7</xdr:col>
      <xdr:colOff>141194</xdr:colOff>
      <xdr:row>18</xdr:row>
      <xdr:rowOff>85166</xdr:rowOff>
    </xdr:from>
    <xdr:to>
      <xdr:col>10</xdr:col>
      <xdr:colOff>589430</xdr:colOff>
      <xdr:row>21</xdr:row>
      <xdr:rowOff>51548</xdr:rowOff>
    </xdr:to>
    <xdr:sp macro="" textlink="'Insight Engine'!D7">
      <xdr:nvSpPr>
        <xdr:cNvPr id="28" name="TextBox 27">
          <a:extLst>
            <a:ext uri="{FF2B5EF4-FFF2-40B4-BE49-F238E27FC236}">
              <a16:creationId xmlns:a16="http://schemas.microsoft.com/office/drawing/2014/main" id="{175DC5F8-6480-4B81-8813-12799D7C2454}"/>
            </a:ext>
          </a:extLst>
        </xdr:cNvPr>
        <xdr:cNvSpPr txBox="1"/>
      </xdr:nvSpPr>
      <xdr:spPr>
        <a:xfrm>
          <a:off x="4377018" y="3514166"/>
          <a:ext cx="2263588" cy="5378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DBD037E-A2EA-4E54-ADFD-2EEAC192F943}" type="TxLink">
            <a:rPr lang="en-US" sz="2800" b="1" i="0" u="none" strike="noStrike">
              <a:solidFill>
                <a:schemeClr val="bg1"/>
              </a:solidFill>
              <a:latin typeface="Calibri"/>
              <a:cs typeface="Calibri"/>
            </a:rPr>
            <a:pPr algn="ctr"/>
            <a:t>166906</a:t>
          </a:fld>
          <a:endParaRPr lang="en-US" sz="13800" b="1">
            <a:solidFill>
              <a:schemeClr val="bg1"/>
            </a:solidFill>
          </a:endParaRPr>
        </a:p>
      </xdr:txBody>
    </xdr:sp>
    <xdr:clientData/>
  </xdr:twoCellAnchor>
  <xdr:twoCellAnchor editAs="oneCell">
    <xdr:from>
      <xdr:col>5</xdr:col>
      <xdr:colOff>91570</xdr:colOff>
      <xdr:row>25</xdr:row>
      <xdr:rowOff>29135</xdr:rowOff>
    </xdr:from>
    <xdr:to>
      <xdr:col>12</xdr:col>
      <xdr:colOff>577466</xdr:colOff>
      <xdr:row>41</xdr:row>
      <xdr:rowOff>17930</xdr:rowOff>
    </xdr:to>
    <xdr:pic>
      <xdr:nvPicPr>
        <xdr:cNvPr id="29" name="Picture 28">
          <a:extLst>
            <a:ext uri="{FF2B5EF4-FFF2-40B4-BE49-F238E27FC236}">
              <a16:creationId xmlns:a16="http://schemas.microsoft.com/office/drawing/2014/main" id="{249C5577-55BB-4D01-BDCF-52897DB5AC5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117158" y="4791635"/>
          <a:ext cx="4721720" cy="3036795"/>
        </a:xfrm>
        <a:prstGeom prst="rect">
          <a:avLst/>
        </a:prstGeom>
      </xdr:spPr>
    </xdr:pic>
    <xdr:clientData/>
  </xdr:twoCellAnchor>
  <xdr:twoCellAnchor>
    <xdr:from>
      <xdr:col>7</xdr:col>
      <xdr:colOff>174812</xdr:colOff>
      <xdr:row>32</xdr:row>
      <xdr:rowOff>129990</xdr:rowOff>
    </xdr:from>
    <xdr:to>
      <xdr:col>11</xdr:col>
      <xdr:colOff>17930</xdr:colOff>
      <xdr:row>35</xdr:row>
      <xdr:rowOff>96372</xdr:rowOff>
    </xdr:to>
    <xdr:sp macro="" textlink="">
      <xdr:nvSpPr>
        <xdr:cNvPr id="30" name="TextBox 29">
          <a:extLst>
            <a:ext uri="{FF2B5EF4-FFF2-40B4-BE49-F238E27FC236}">
              <a16:creationId xmlns:a16="http://schemas.microsoft.com/office/drawing/2014/main" id="{A10B8CFD-D222-4BDD-B7B1-34E97A5C9F43}"/>
            </a:ext>
          </a:extLst>
        </xdr:cNvPr>
        <xdr:cNvSpPr txBox="1"/>
      </xdr:nvSpPr>
      <xdr:spPr>
        <a:xfrm>
          <a:off x="4410636" y="6225990"/>
          <a:ext cx="2263588" cy="5378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b="1">
              <a:solidFill>
                <a:schemeClr val="bg1"/>
              </a:solidFill>
            </a:rPr>
            <a:t>Total Sales</a:t>
          </a:r>
        </a:p>
      </xdr:txBody>
    </xdr:sp>
    <xdr:clientData/>
  </xdr:twoCellAnchor>
  <xdr:twoCellAnchor>
    <xdr:from>
      <xdr:col>7</xdr:col>
      <xdr:colOff>136712</xdr:colOff>
      <xdr:row>30</xdr:row>
      <xdr:rowOff>24655</xdr:rowOff>
    </xdr:from>
    <xdr:to>
      <xdr:col>10</xdr:col>
      <xdr:colOff>584948</xdr:colOff>
      <xdr:row>32</xdr:row>
      <xdr:rowOff>181537</xdr:rowOff>
    </xdr:to>
    <xdr:sp macro="" textlink="'Insight Engine'!A7">
      <xdr:nvSpPr>
        <xdr:cNvPr id="31" name="TextBox 30">
          <a:extLst>
            <a:ext uri="{FF2B5EF4-FFF2-40B4-BE49-F238E27FC236}">
              <a16:creationId xmlns:a16="http://schemas.microsoft.com/office/drawing/2014/main" id="{6B65CB73-0525-4F1C-9F81-F3E3083D2E97}"/>
            </a:ext>
          </a:extLst>
        </xdr:cNvPr>
        <xdr:cNvSpPr txBox="1"/>
      </xdr:nvSpPr>
      <xdr:spPr>
        <a:xfrm>
          <a:off x="4372536" y="5739655"/>
          <a:ext cx="2263588" cy="5378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D4C5CC7-E262-43F5-8941-F0A11FBDA3E6}" type="TxLink">
            <a:rPr lang="en-US" sz="2800" b="1" i="0" u="none" strike="noStrike">
              <a:solidFill>
                <a:schemeClr val="bg1"/>
              </a:solidFill>
              <a:latin typeface="Calibri"/>
              <a:cs typeface="Calibri"/>
            </a:rPr>
            <a:pPr algn="ctr"/>
            <a:t>97</a:t>
          </a:fld>
          <a:endParaRPr lang="en-US" sz="49600" b="1">
            <a:solidFill>
              <a:schemeClr val="bg1"/>
            </a:solidFill>
          </a:endParaRPr>
        </a:p>
      </xdr:txBody>
    </xdr:sp>
    <xdr:clientData/>
  </xdr:twoCellAnchor>
  <xdr:twoCellAnchor editAs="oneCell">
    <xdr:from>
      <xdr:col>0</xdr:col>
      <xdr:colOff>605117</xdr:colOff>
      <xdr:row>56</xdr:row>
      <xdr:rowOff>149679</xdr:rowOff>
    </xdr:from>
    <xdr:to>
      <xdr:col>34</xdr:col>
      <xdr:colOff>190500</xdr:colOff>
      <xdr:row>103</xdr:row>
      <xdr:rowOff>78441</xdr:rowOff>
    </xdr:to>
    <xdr:pic>
      <xdr:nvPicPr>
        <xdr:cNvPr id="3" name="Picture 2">
          <a:extLst>
            <a:ext uri="{FF2B5EF4-FFF2-40B4-BE49-F238E27FC236}">
              <a16:creationId xmlns:a16="http://schemas.microsoft.com/office/drawing/2014/main" id="{D680EDBF-B785-4B23-94B3-4BCD62C55691}"/>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605117" y="10817679"/>
          <a:ext cx="20311783" cy="8882262"/>
        </a:xfrm>
        <a:prstGeom prst="rect">
          <a:avLst/>
        </a:prstGeom>
      </xdr:spPr>
    </xdr:pic>
    <xdr:clientData/>
  </xdr:twoCellAnchor>
  <xdr:twoCellAnchor editAs="oneCell">
    <xdr:from>
      <xdr:col>0</xdr:col>
      <xdr:colOff>512269</xdr:colOff>
      <xdr:row>60</xdr:row>
      <xdr:rowOff>81929</xdr:rowOff>
    </xdr:from>
    <xdr:to>
      <xdr:col>6</xdr:col>
      <xdr:colOff>324256</xdr:colOff>
      <xdr:row>71</xdr:row>
      <xdr:rowOff>136070</xdr:rowOff>
    </xdr:to>
    <xdr:pic>
      <xdr:nvPicPr>
        <xdr:cNvPr id="12" name="Picture 11">
          <a:extLst>
            <a:ext uri="{FF2B5EF4-FFF2-40B4-BE49-F238E27FC236}">
              <a16:creationId xmlns:a16="http://schemas.microsoft.com/office/drawing/2014/main" id="{E3B9BB3C-3723-4756-9A20-99C752FC17E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12269" y="11511929"/>
          <a:ext cx="3485916" cy="2149641"/>
        </a:xfrm>
        <a:prstGeom prst="rect">
          <a:avLst/>
        </a:prstGeom>
      </xdr:spPr>
    </xdr:pic>
    <xdr:clientData/>
  </xdr:twoCellAnchor>
  <xdr:twoCellAnchor>
    <xdr:from>
      <xdr:col>20</xdr:col>
      <xdr:colOff>246528</xdr:colOff>
      <xdr:row>60</xdr:row>
      <xdr:rowOff>122465</xdr:rowOff>
    </xdr:from>
    <xdr:to>
      <xdr:col>33</xdr:col>
      <xdr:colOff>421821</xdr:colOff>
      <xdr:row>78</xdr:row>
      <xdr:rowOff>174493</xdr:rowOff>
    </xdr:to>
    <xdr:sp macro="" textlink="">
      <xdr:nvSpPr>
        <xdr:cNvPr id="5" name="Rectangle: Rounded Corners 4">
          <a:extLst>
            <a:ext uri="{FF2B5EF4-FFF2-40B4-BE49-F238E27FC236}">
              <a16:creationId xmlns:a16="http://schemas.microsoft.com/office/drawing/2014/main" id="{09F56D52-A684-4A48-A54C-95DEB258DA42}"/>
            </a:ext>
          </a:extLst>
        </xdr:cNvPr>
        <xdr:cNvSpPr/>
      </xdr:nvSpPr>
      <xdr:spPr>
        <a:xfrm>
          <a:off x="12492957" y="11552465"/>
          <a:ext cx="8135471" cy="3481028"/>
        </a:xfrm>
        <a:prstGeom prst="roundRect">
          <a:avLst/>
        </a:prstGeom>
        <a:noFill/>
        <a:ln>
          <a:solidFill>
            <a:schemeClr val="bg1"/>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ln>
              <a:solidFill>
                <a:schemeClr val="bg1"/>
              </a:solidFill>
            </a:ln>
            <a:noFill/>
          </a:endParaRPr>
        </a:p>
      </xdr:txBody>
    </xdr:sp>
    <xdr:clientData/>
  </xdr:twoCellAnchor>
  <xdr:twoCellAnchor>
    <xdr:from>
      <xdr:col>20</xdr:col>
      <xdr:colOff>392206</xdr:colOff>
      <xdr:row>61</xdr:row>
      <xdr:rowOff>6538</xdr:rowOff>
    </xdr:from>
    <xdr:to>
      <xdr:col>33</xdr:col>
      <xdr:colOff>205948</xdr:colOff>
      <xdr:row>77</xdr:row>
      <xdr:rowOff>163286</xdr:rowOff>
    </xdr:to>
    <xdr:graphicFrame macro="">
      <xdr:nvGraphicFramePr>
        <xdr:cNvPr id="22" name="Chart 21">
          <a:extLst>
            <a:ext uri="{FF2B5EF4-FFF2-40B4-BE49-F238E27FC236}">
              <a16:creationId xmlns:a16="http://schemas.microsoft.com/office/drawing/2014/main" id="{25259284-A519-49A2-8E21-D3D1D5F1EF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313764</xdr:colOff>
      <xdr:row>81</xdr:row>
      <xdr:rowOff>54267</xdr:rowOff>
    </xdr:from>
    <xdr:to>
      <xdr:col>33</xdr:col>
      <xdr:colOff>326572</xdr:colOff>
      <xdr:row>100</xdr:row>
      <xdr:rowOff>11207</xdr:rowOff>
    </xdr:to>
    <xdr:graphicFrame macro="">
      <xdr:nvGraphicFramePr>
        <xdr:cNvPr id="23" name="Chart 22">
          <a:extLst>
            <a:ext uri="{FF2B5EF4-FFF2-40B4-BE49-F238E27FC236}">
              <a16:creationId xmlns:a16="http://schemas.microsoft.com/office/drawing/2014/main" id="{EB991813-E15E-4C29-98D7-48A6284D1F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20</xdr:col>
      <xdr:colOff>224118</xdr:colOff>
      <xdr:row>80</xdr:row>
      <xdr:rowOff>176894</xdr:rowOff>
    </xdr:from>
    <xdr:to>
      <xdr:col>33</xdr:col>
      <xdr:colOff>408214</xdr:colOff>
      <xdr:row>100</xdr:row>
      <xdr:rowOff>152012</xdr:rowOff>
    </xdr:to>
    <xdr:sp macro="" textlink="">
      <xdr:nvSpPr>
        <xdr:cNvPr id="25" name="Rectangle: Rounded Corners 24">
          <a:extLst>
            <a:ext uri="{FF2B5EF4-FFF2-40B4-BE49-F238E27FC236}">
              <a16:creationId xmlns:a16="http://schemas.microsoft.com/office/drawing/2014/main" id="{90428E4C-BC99-4009-9587-2D9AF64C20F8}"/>
            </a:ext>
          </a:extLst>
        </xdr:cNvPr>
        <xdr:cNvSpPr/>
      </xdr:nvSpPr>
      <xdr:spPr>
        <a:xfrm>
          <a:off x="12470547" y="15416894"/>
          <a:ext cx="8144274" cy="3785118"/>
        </a:xfrm>
        <a:prstGeom prst="roundRect">
          <a:avLst/>
        </a:prstGeom>
        <a:noFill/>
        <a:ln>
          <a:solidFill>
            <a:schemeClr val="bg1"/>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ln>
              <a:solidFill>
                <a:schemeClr val="bg1"/>
              </a:solidFill>
            </a:ln>
            <a:noFill/>
          </a:endParaRPr>
        </a:p>
      </xdr:txBody>
    </xdr:sp>
    <xdr:clientData/>
  </xdr:twoCellAnchor>
  <xdr:twoCellAnchor>
    <xdr:from>
      <xdr:col>6</xdr:col>
      <xdr:colOff>291353</xdr:colOff>
      <xdr:row>73</xdr:row>
      <xdr:rowOff>149679</xdr:rowOff>
    </xdr:from>
    <xdr:to>
      <xdr:col>19</xdr:col>
      <xdr:colOff>489857</xdr:colOff>
      <xdr:row>100</xdr:row>
      <xdr:rowOff>169942</xdr:rowOff>
    </xdr:to>
    <xdr:sp macro="" textlink="">
      <xdr:nvSpPr>
        <xdr:cNvPr id="32" name="Rectangle: Rounded Corners 31">
          <a:extLst>
            <a:ext uri="{FF2B5EF4-FFF2-40B4-BE49-F238E27FC236}">
              <a16:creationId xmlns:a16="http://schemas.microsoft.com/office/drawing/2014/main" id="{A01395C7-5F6B-4479-AC8E-DB6669B73B25}"/>
            </a:ext>
          </a:extLst>
        </xdr:cNvPr>
        <xdr:cNvSpPr/>
      </xdr:nvSpPr>
      <xdr:spPr>
        <a:xfrm>
          <a:off x="3965282" y="14056179"/>
          <a:ext cx="8158682" cy="5163763"/>
        </a:xfrm>
        <a:prstGeom prst="roundRect">
          <a:avLst/>
        </a:prstGeom>
        <a:noFill/>
        <a:ln>
          <a:solidFill>
            <a:schemeClr val="bg1"/>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ln>
              <a:solidFill>
                <a:schemeClr val="bg1"/>
              </a:solidFill>
            </a:ln>
            <a:noFill/>
          </a:endParaRPr>
        </a:p>
      </xdr:txBody>
    </xdr:sp>
    <xdr:clientData/>
  </xdr:twoCellAnchor>
  <xdr:twoCellAnchor>
    <xdr:from>
      <xdr:col>6</xdr:col>
      <xdr:colOff>354856</xdr:colOff>
      <xdr:row>74</xdr:row>
      <xdr:rowOff>68036</xdr:rowOff>
    </xdr:from>
    <xdr:to>
      <xdr:col>19</xdr:col>
      <xdr:colOff>503464</xdr:colOff>
      <xdr:row>100</xdr:row>
      <xdr:rowOff>78440</xdr:rowOff>
    </xdr:to>
    <xdr:graphicFrame macro="">
      <xdr:nvGraphicFramePr>
        <xdr:cNvPr id="33" name="Chart 32">
          <a:extLst>
            <a:ext uri="{FF2B5EF4-FFF2-40B4-BE49-F238E27FC236}">
              <a16:creationId xmlns:a16="http://schemas.microsoft.com/office/drawing/2014/main" id="{327C2CDB-F479-4C01-8C55-AE9AD74471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240127</xdr:colOff>
      <xdr:row>73</xdr:row>
      <xdr:rowOff>132522</xdr:rowOff>
    </xdr:from>
    <xdr:to>
      <xdr:col>5</xdr:col>
      <xdr:colOff>525876</xdr:colOff>
      <xdr:row>78</xdr:row>
      <xdr:rowOff>93650</xdr:rowOff>
    </xdr:to>
    <xdr:sp macro="" textlink="">
      <xdr:nvSpPr>
        <xdr:cNvPr id="6" name="Rectangle: Rounded Corners 5">
          <a:hlinkClick xmlns:r="http://schemas.openxmlformats.org/officeDocument/2006/relationships" r:id="rId8"/>
          <a:extLst>
            <a:ext uri="{FF2B5EF4-FFF2-40B4-BE49-F238E27FC236}">
              <a16:creationId xmlns:a16="http://schemas.microsoft.com/office/drawing/2014/main" id="{6796F777-3205-435D-AE7C-0A065A4222B6}"/>
            </a:ext>
          </a:extLst>
        </xdr:cNvPr>
        <xdr:cNvSpPr/>
      </xdr:nvSpPr>
      <xdr:spPr>
        <a:xfrm>
          <a:off x="845245" y="14039022"/>
          <a:ext cx="2706219" cy="913628"/>
        </a:xfrm>
        <a:prstGeom prst="roundRect">
          <a:avLst>
            <a:gd name="adj" fmla="val 50000"/>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t>Pre</a:t>
          </a:r>
          <a:r>
            <a:rPr lang="en-US" sz="2000" b="1" baseline="0"/>
            <a:t> </a:t>
          </a:r>
          <a:r>
            <a:rPr lang="en-US" sz="2000" b="1"/>
            <a:t>Processing</a:t>
          </a:r>
        </a:p>
      </xdr:txBody>
    </xdr:sp>
    <xdr:clientData/>
  </xdr:twoCellAnchor>
  <xdr:twoCellAnchor>
    <xdr:from>
      <xdr:col>1</xdr:col>
      <xdr:colOff>247922</xdr:colOff>
      <xdr:row>80</xdr:row>
      <xdr:rowOff>65287</xdr:rowOff>
    </xdr:from>
    <xdr:to>
      <xdr:col>5</xdr:col>
      <xdr:colOff>533671</xdr:colOff>
      <xdr:row>85</xdr:row>
      <xdr:rowOff>26415</xdr:rowOff>
    </xdr:to>
    <xdr:sp macro="" textlink="">
      <xdr:nvSpPr>
        <xdr:cNvPr id="34" name="Rectangle: Rounded Corners 33">
          <a:hlinkClick xmlns:r="http://schemas.openxmlformats.org/officeDocument/2006/relationships" r:id="rId9"/>
          <a:extLst>
            <a:ext uri="{FF2B5EF4-FFF2-40B4-BE49-F238E27FC236}">
              <a16:creationId xmlns:a16="http://schemas.microsoft.com/office/drawing/2014/main" id="{22CB13E8-8420-456B-9E1F-EAB060504436}"/>
            </a:ext>
          </a:extLst>
        </xdr:cNvPr>
        <xdr:cNvSpPr/>
      </xdr:nvSpPr>
      <xdr:spPr>
        <a:xfrm>
          <a:off x="857522" y="15305287"/>
          <a:ext cx="2724149" cy="913628"/>
        </a:xfrm>
        <a:prstGeom prst="roundRect">
          <a:avLst>
            <a:gd name="adj" fmla="val 50000"/>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t>Validated Set</a:t>
          </a:r>
        </a:p>
      </xdr:txBody>
    </xdr:sp>
    <xdr:clientData/>
  </xdr:twoCellAnchor>
  <xdr:twoCellAnchor>
    <xdr:from>
      <xdr:col>1</xdr:col>
      <xdr:colOff>247922</xdr:colOff>
      <xdr:row>87</xdr:row>
      <xdr:rowOff>36712</xdr:rowOff>
    </xdr:from>
    <xdr:to>
      <xdr:col>5</xdr:col>
      <xdr:colOff>533671</xdr:colOff>
      <xdr:row>91</xdr:row>
      <xdr:rowOff>188340</xdr:rowOff>
    </xdr:to>
    <xdr:sp macro="" textlink="">
      <xdr:nvSpPr>
        <xdr:cNvPr id="35" name="Rectangle: Rounded Corners 34">
          <a:hlinkClick xmlns:r="http://schemas.openxmlformats.org/officeDocument/2006/relationships" r:id="rId10"/>
          <a:extLst>
            <a:ext uri="{FF2B5EF4-FFF2-40B4-BE49-F238E27FC236}">
              <a16:creationId xmlns:a16="http://schemas.microsoft.com/office/drawing/2014/main" id="{1886D078-4EB9-4689-8FBF-20F22F91FBCC}"/>
            </a:ext>
          </a:extLst>
        </xdr:cNvPr>
        <xdr:cNvSpPr/>
      </xdr:nvSpPr>
      <xdr:spPr>
        <a:xfrm>
          <a:off x="857522" y="16610212"/>
          <a:ext cx="2724149" cy="913628"/>
        </a:xfrm>
        <a:prstGeom prst="roundRect">
          <a:avLst>
            <a:gd name="adj" fmla="val 50000"/>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t>Insight Engine</a:t>
          </a:r>
        </a:p>
      </xdr:txBody>
    </xdr:sp>
    <xdr:clientData/>
  </xdr:twoCellAnchor>
  <xdr:twoCellAnchor editAs="oneCell">
    <xdr:from>
      <xdr:col>6</xdr:col>
      <xdr:colOff>312963</xdr:colOff>
      <xdr:row>58</xdr:row>
      <xdr:rowOff>108858</xdr:rowOff>
    </xdr:from>
    <xdr:to>
      <xdr:col>12</xdr:col>
      <xdr:colOff>571500</xdr:colOff>
      <xdr:row>71</xdr:row>
      <xdr:rowOff>172040</xdr:rowOff>
    </xdr:to>
    <xdr:pic>
      <xdr:nvPicPr>
        <xdr:cNvPr id="8" name="Picture 7">
          <a:extLst>
            <a:ext uri="{FF2B5EF4-FFF2-40B4-BE49-F238E27FC236}">
              <a16:creationId xmlns:a16="http://schemas.microsoft.com/office/drawing/2014/main" id="{D4DD286C-75FE-4E2C-AC41-1B9DA2F57256}"/>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3986892" y="11157858"/>
          <a:ext cx="3932465" cy="2539682"/>
        </a:xfrm>
        <a:prstGeom prst="rect">
          <a:avLst/>
        </a:prstGeom>
      </xdr:spPr>
    </xdr:pic>
    <xdr:clientData/>
  </xdr:twoCellAnchor>
  <xdr:twoCellAnchor editAs="oneCell">
    <xdr:from>
      <xdr:col>13</xdr:col>
      <xdr:colOff>247649</xdr:colOff>
      <xdr:row>58</xdr:row>
      <xdr:rowOff>111579</xdr:rowOff>
    </xdr:from>
    <xdr:to>
      <xdr:col>19</xdr:col>
      <xdr:colOff>506186</xdr:colOff>
      <xdr:row>71</xdr:row>
      <xdr:rowOff>174761</xdr:rowOff>
    </xdr:to>
    <xdr:pic>
      <xdr:nvPicPr>
        <xdr:cNvPr id="40" name="Picture 39">
          <a:extLst>
            <a:ext uri="{FF2B5EF4-FFF2-40B4-BE49-F238E27FC236}">
              <a16:creationId xmlns:a16="http://schemas.microsoft.com/office/drawing/2014/main" id="{D6C85D03-22AA-4DD9-B58C-3D93D245F106}"/>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8207828" y="11160579"/>
          <a:ext cx="3932465" cy="2539682"/>
        </a:xfrm>
        <a:prstGeom prst="rect">
          <a:avLst/>
        </a:prstGeom>
      </xdr:spPr>
    </xdr:pic>
    <xdr:clientData/>
  </xdr:twoCellAnchor>
  <xdr:twoCellAnchor>
    <xdr:from>
      <xdr:col>14</xdr:col>
      <xdr:colOff>490178</xdr:colOff>
      <xdr:row>64</xdr:row>
      <xdr:rowOff>145517</xdr:rowOff>
    </xdr:from>
    <xdr:to>
      <xdr:col>18</xdr:col>
      <xdr:colOff>333294</xdr:colOff>
      <xdr:row>67</xdr:row>
      <xdr:rowOff>111899</xdr:rowOff>
    </xdr:to>
    <xdr:sp macro="" textlink="">
      <xdr:nvSpPr>
        <xdr:cNvPr id="41" name="TextBox 40">
          <a:extLst>
            <a:ext uri="{FF2B5EF4-FFF2-40B4-BE49-F238E27FC236}">
              <a16:creationId xmlns:a16="http://schemas.microsoft.com/office/drawing/2014/main" id="{DDBD40BE-413D-4599-AB6C-04E9A58702A8}"/>
            </a:ext>
          </a:extLst>
        </xdr:cNvPr>
        <xdr:cNvSpPr txBox="1"/>
      </xdr:nvSpPr>
      <xdr:spPr>
        <a:xfrm>
          <a:off x="9062678" y="12337517"/>
          <a:ext cx="2292402" cy="5378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200" b="1">
              <a:solidFill>
                <a:schemeClr val="bg1"/>
              </a:solidFill>
            </a:rPr>
            <a:t>Total Sales</a:t>
          </a:r>
        </a:p>
      </xdr:txBody>
    </xdr:sp>
    <xdr:clientData/>
  </xdr:twoCellAnchor>
  <xdr:twoCellAnchor>
    <xdr:from>
      <xdr:col>14</xdr:col>
      <xdr:colOff>465685</xdr:colOff>
      <xdr:row>61</xdr:row>
      <xdr:rowOff>122624</xdr:rowOff>
    </xdr:from>
    <xdr:to>
      <xdr:col>18</xdr:col>
      <xdr:colOff>308801</xdr:colOff>
      <xdr:row>64</xdr:row>
      <xdr:rowOff>152401</xdr:rowOff>
    </xdr:to>
    <xdr:sp macro="" textlink="'Insight Engine'!D7">
      <xdr:nvSpPr>
        <xdr:cNvPr id="42" name="TextBox 41">
          <a:extLst>
            <a:ext uri="{FF2B5EF4-FFF2-40B4-BE49-F238E27FC236}">
              <a16:creationId xmlns:a16="http://schemas.microsoft.com/office/drawing/2014/main" id="{F7E7795D-7802-41C4-9AFB-AD626F53726E}"/>
            </a:ext>
          </a:extLst>
        </xdr:cNvPr>
        <xdr:cNvSpPr txBox="1"/>
      </xdr:nvSpPr>
      <xdr:spPr>
        <a:xfrm>
          <a:off x="9038185" y="11743124"/>
          <a:ext cx="2292402" cy="6012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4000" b="1" i="0" u="none" strike="noStrike">
              <a:solidFill>
                <a:schemeClr val="bg1"/>
              </a:solidFill>
              <a:latin typeface="Calibri"/>
              <a:cs typeface="Calibri"/>
            </a:rPr>
            <a:t>$ </a:t>
          </a:r>
          <a:fld id="{6DBD037E-A2EA-4E54-ADFD-2EEAC192F943}" type="TxLink">
            <a:rPr lang="en-US" sz="4000" b="1" i="0" u="none" strike="noStrike">
              <a:solidFill>
                <a:schemeClr val="bg1"/>
              </a:solidFill>
              <a:latin typeface="Calibri"/>
              <a:cs typeface="Calibri"/>
            </a:rPr>
            <a:pPr algn="ctr"/>
            <a:t>166906</a:t>
          </a:fld>
          <a:endParaRPr lang="en-US" sz="23900" b="1">
            <a:solidFill>
              <a:schemeClr val="bg1"/>
            </a:solidFill>
          </a:endParaRPr>
        </a:p>
      </xdr:txBody>
    </xdr:sp>
    <xdr:clientData/>
  </xdr:twoCellAnchor>
  <xdr:twoCellAnchor>
    <xdr:from>
      <xdr:col>7</xdr:col>
      <xdr:colOff>133508</xdr:colOff>
      <xdr:row>64</xdr:row>
      <xdr:rowOff>141035</xdr:rowOff>
    </xdr:from>
    <xdr:to>
      <xdr:col>12</xdr:col>
      <xdr:colOff>223156</xdr:colOff>
      <xdr:row>67</xdr:row>
      <xdr:rowOff>107417</xdr:rowOff>
    </xdr:to>
    <xdr:sp macro="" textlink="">
      <xdr:nvSpPr>
        <xdr:cNvPr id="43" name="TextBox 42">
          <a:extLst>
            <a:ext uri="{FF2B5EF4-FFF2-40B4-BE49-F238E27FC236}">
              <a16:creationId xmlns:a16="http://schemas.microsoft.com/office/drawing/2014/main" id="{3EB54F59-A00F-43F9-B968-8E8A421A7FD7}"/>
            </a:ext>
          </a:extLst>
        </xdr:cNvPr>
        <xdr:cNvSpPr txBox="1"/>
      </xdr:nvSpPr>
      <xdr:spPr>
        <a:xfrm>
          <a:off x="4419758" y="12333035"/>
          <a:ext cx="3151255" cy="5378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200" b="1">
              <a:solidFill>
                <a:schemeClr val="bg1"/>
              </a:solidFill>
            </a:rPr>
            <a:t>Active Reach</a:t>
          </a:r>
          <a:endParaRPr lang="en-US" sz="2800" b="1">
            <a:solidFill>
              <a:schemeClr val="bg1"/>
            </a:solidFill>
          </a:endParaRPr>
        </a:p>
      </xdr:txBody>
    </xdr:sp>
    <xdr:clientData/>
  </xdr:twoCellAnchor>
  <xdr:twoCellAnchor>
    <xdr:from>
      <xdr:col>7</xdr:col>
      <xdr:colOff>533400</xdr:colOff>
      <xdr:row>61</xdr:row>
      <xdr:rowOff>118144</xdr:rowOff>
    </xdr:from>
    <xdr:to>
      <xdr:col>11</xdr:col>
      <xdr:colOff>558053</xdr:colOff>
      <xdr:row>64</xdr:row>
      <xdr:rowOff>138794</xdr:rowOff>
    </xdr:to>
    <xdr:sp macro="" textlink="'Insight Engine'!A7">
      <xdr:nvSpPr>
        <xdr:cNvPr id="44" name="TextBox 43">
          <a:extLst>
            <a:ext uri="{FF2B5EF4-FFF2-40B4-BE49-F238E27FC236}">
              <a16:creationId xmlns:a16="http://schemas.microsoft.com/office/drawing/2014/main" id="{19F9A5EE-05D0-4A6D-AB29-F90041F19582}"/>
            </a:ext>
          </a:extLst>
        </xdr:cNvPr>
        <xdr:cNvSpPr txBox="1"/>
      </xdr:nvSpPr>
      <xdr:spPr>
        <a:xfrm>
          <a:off x="4819650" y="11738644"/>
          <a:ext cx="2473939" cy="592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D4C5CC7-E262-43F5-8941-F0A11FBDA3E6}" type="TxLink">
            <a:rPr lang="en-US" sz="4000" b="1" i="0" u="none" strike="noStrike">
              <a:solidFill>
                <a:schemeClr val="bg1"/>
              </a:solidFill>
              <a:latin typeface="Calibri"/>
              <a:cs typeface="Calibri"/>
            </a:rPr>
            <a:pPr algn="ctr"/>
            <a:t>97</a:t>
          </a:fld>
          <a:endParaRPr lang="en-US" sz="85700" b="1">
            <a:solidFill>
              <a:schemeClr val="bg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tro" refreshedDate="46113.262149074071" createdVersion="7" refreshedVersion="7" minRefreshableVersion="3" recordCount="97" xr:uid="{3BF72DA2-13EB-4FCD-B470-0CFE18D6726F}">
  <cacheSource type="worksheet">
    <worksheetSource name="Table1_2"/>
  </cacheSource>
  <cacheFields count="14">
    <cacheField name="ID" numFmtId="49">
      <sharedItems containsSemiMixedTypes="0" containsString="0" containsNumber="1" containsInteger="1" minValue="100" maxValue="199"/>
    </cacheField>
    <cacheField name=" Customer Name" numFmtId="49">
      <sharedItems/>
    </cacheField>
    <cacheField name="Order ID" numFmtId="49">
      <sharedItems/>
    </cacheField>
    <cacheField name="Order Date" numFmtId="14">
      <sharedItems containsSemiMixedTypes="0" containsNonDate="0" containsDate="1" containsString="0" minDate="2023-01-05T00:00:00" maxDate="2025-11-07T00:00:00"/>
    </cacheField>
    <cacheField name="Quarter" numFmtId="49">
      <sharedItems containsSemiMixedTypes="0" containsString="0" containsNumber="1" containsInteger="1" minValue="1" maxValue="4"/>
    </cacheField>
    <cacheField name="Year" numFmtId="49">
      <sharedItems containsSemiMixedTypes="0" containsString="0" containsNumber="1" containsInteger="1" minValue="2023" maxValue="2025" count="3">
        <n v="2024"/>
        <n v="2025"/>
        <n v="2023"/>
      </sharedItems>
    </cacheField>
    <cacheField name="Month" numFmtId="49">
      <sharedItems containsSemiMixedTypes="0" containsString="0" containsNumber="1" containsInteger="1" minValue="1" maxValue="12" count="12">
        <n v="11"/>
        <n v="12"/>
        <n v="3"/>
        <n v="10"/>
        <n v="2"/>
        <n v="1"/>
        <n v="5"/>
        <n v="7"/>
        <n v="6"/>
        <n v="8"/>
        <n v="4"/>
        <n v="9"/>
      </sharedItems>
    </cacheField>
    <cacheField name=" Product" numFmtId="49">
      <sharedItems count="20">
        <s v="Blender"/>
        <s v="Tennis Racket"/>
        <s v="Science"/>
        <s v="Biography"/>
        <s v="Comics"/>
        <s v="Shoes"/>
        <s v="Fiction"/>
        <s v="Smartphone"/>
        <s v="Microwave"/>
        <s v="Basketball"/>
        <s v="Yoga Mat"/>
        <s v="Vacuum"/>
        <s v="Lamp"/>
        <s v="T-Shirt"/>
        <s v="Smartwatch"/>
        <s v="Headphones"/>
        <s v="Football"/>
        <s v="Laptop"/>
        <s v="Jacket"/>
        <s v="Jeans"/>
      </sharedItems>
    </cacheField>
    <cacheField name="Category" numFmtId="49">
      <sharedItems count="7">
        <s v="Home"/>
        <s v="Sports"/>
        <s v="Books"/>
        <s v="Clothing"/>
        <s v="Electronics"/>
        <s v="Electronic"/>
        <s v="Nan"/>
      </sharedItems>
    </cacheField>
    <cacheField name="Quantity" numFmtId="1">
      <sharedItems containsSemiMixedTypes="0" containsString="0" containsNumber="1" containsInteger="1" minValue="1" maxValue="5"/>
    </cacheField>
    <cacheField name="Price" numFmtId="164">
      <sharedItems containsSemiMixedTypes="0" containsString="0" containsNumber="1" containsInteger="1" minValue="38" maxValue="10000"/>
    </cacheField>
    <cacheField name="Payment Method" numFmtId="49">
      <sharedItems count="4">
        <s v="Cash On Delivery"/>
        <s v="Paypal"/>
        <s v="Bank Transfer"/>
        <s v="Credit Card"/>
      </sharedItems>
    </cacheField>
    <cacheField name="Status" numFmtId="49">
      <sharedItems/>
    </cacheField>
    <cacheField name="Total" numFmtId="164">
      <sharedItems containsSemiMixedTypes="0" containsString="0" containsNumber="1" containsInteger="1" minValue="41" maxValue="20000"/>
    </cacheField>
  </cacheFields>
  <extLst>
    <ext xmlns:x14="http://schemas.microsoft.com/office/spreadsheetml/2009/9/main" uri="{725AE2AE-9491-48be-B2B4-4EB974FC3084}">
      <x14:pivotCacheDefinition pivotCacheId="164453428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7">
  <r>
    <n v="100"/>
    <s v="Customer_100"/>
    <s v="ORD-41285"/>
    <d v="2024-11-22T00:00:00"/>
    <n v="4"/>
    <x v="0"/>
    <x v="0"/>
    <x v="0"/>
    <x v="0"/>
    <n v="3"/>
    <n v="38"/>
    <x v="0"/>
    <s v="Shipped"/>
    <n v="114"/>
  </r>
  <r>
    <n v="102"/>
    <s v="Customer_102"/>
    <s v="ORD-84355"/>
    <d v="2024-12-23T00:00:00"/>
    <n v="4"/>
    <x v="0"/>
    <x v="1"/>
    <x v="1"/>
    <x v="1"/>
    <n v="1"/>
    <n v="389"/>
    <x v="1"/>
    <s v="Delivered"/>
    <n v="389"/>
  </r>
  <r>
    <n v="103"/>
    <s v="Customer_103"/>
    <s v="ORD-57811"/>
    <d v="2025-03-19T00:00:00"/>
    <n v="1"/>
    <x v="1"/>
    <x v="2"/>
    <x v="2"/>
    <x v="2"/>
    <n v="5"/>
    <n v="234"/>
    <x v="1"/>
    <s v="Processing"/>
    <n v="1170"/>
  </r>
  <r>
    <n v="104"/>
    <s v="Customer_104"/>
    <s v="ORD-93614"/>
    <d v="2025-10-20T00:00:00"/>
    <n v="4"/>
    <x v="1"/>
    <x v="3"/>
    <x v="3"/>
    <x v="2"/>
    <n v="1"/>
    <n v="553"/>
    <x v="0"/>
    <s v="Processing"/>
    <n v="553"/>
  </r>
  <r>
    <n v="105"/>
    <s v="Customer_105"/>
    <s v="ORD-22442"/>
    <d v="2024-11-20T00:00:00"/>
    <n v="4"/>
    <x v="0"/>
    <x v="0"/>
    <x v="1"/>
    <x v="1"/>
    <n v="3"/>
    <n v="122"/>
    <x v="0"/>
    <s v="Cancelled"/>
    <n v="366"/>
  </r>
  <r>
    <n v="106"/>
    <s v="Customer_106"/>
    <s v="ORD-25885"/>
    <d v="2025-02-02T00:00:00"/>
    <n v="1"/>
    <x v="1"/>
    <x v="4"/>
    <x v="0"/>
    <x v="0"/>
    <n v="3"/>
    <n v="979"/>
    <x v="2"/>
    <s v="Processing"/>
    <n v="366"/>
  </r>
  <r>
    <n v="107"/>
    <s v="Customer_107"/>
    <s v="ORD-89122"/>
    <d v="2025-01-03T00:00:00"/>
    <n v="1"/>
    <x v="1"/>
    <x v="5"/>
    <x v="3"/>
    <x v="2"/>
    <n v="5"/>
    <n v="588"/>
    <x v="1"/>
    <s v="Returned"/>
    <n v="2938"/>
  </r>
  <r>
    <n v="108"/>
    <s v="Customer_108"/>
    <s v="ORD-64400"/>
    <d v="2025-10-23T00:00:00"/>
    <n v="4"/>
    <x v="1"/>
    <x v="3"/>
    <x v="2"/>
    <x v="2"/>
    <n v="1"/>
    <n v="600"/>
    <x v="0"/>
    <s v="Processing"/>
    <n v="600"/>
  </r>
  <r>
    <n v="109"/>
    <s v="Customer_109"/>
    <s v="ORD-18512"/>
    <d v="2025-05-03T00:00:00"/>
    <n v="2"/>
    <x v="1"/>
    <x v="6"/>
    <x v="1"/>
    <x v="1"/>
    <n v="5"/>
    <n v="168"/>
    <x v="3"/>
    <s v="Shipped"/>
    <n v="842"/>
  </r>
  <r>
    <n v="111"/>
    <s v="Customer_111"/>
    <s v="ORD-72349"/>
    <d v="2025-10-22T00:00:00"/>
    <n v="4"/>
    <x v="1"/>
    <x v="3"/>
    <x v="4"/>
    <x v="2"/>
    <n v="2"/>
    <n v="866"/>
    <x v="3"/>
    <s v="Returned"/>
    <n v="1732"/>
  </r>
  <r>
    <n v="112"/>
    <s v="Customer_112"/>
    <s v="ORD-80867"/>
    <d v="2025-03-02T00:00:00"/>
    <n v="1"/>
    <x v="1"/>
    <x v="2"/>
    <x v="5"/>
    <x v="3"/>
    <n v="4"/>
    <n v="752"/>
    <x v="2"/>
    <s v="Delivered"/>
    <n v="3009"/>
  </r>
  <r>
    <n v="113"/>
    <s v="Customer_113"/>
    <s v="ORD-23994"/>
    <d v="2025-07-24T00:00:00"/>
    <n v="3"/>
    <x v="1"/>
    <x v="7"/>
    <x v="6"/>
    <x v="2"/>
    <n v="1"/>
    <n v="412"/>
    <x v="3"/>
    <s v="Processing"/>
    <n v="412"/>
  </r>
  <r>
    <n v="114"/>
    <s v="Customer_114"/>
    <s v="ORD-77417"/>
    <d v="2023-01-05T00:00:00"/>
    <n v="1"/>
    <x v="2"/>
    <x v="5"/>
    <x v="7"/>
    <x v="4"/>
    <n v="2"/>
    <n v="413"/>
    <x v="0"/>
    <s v="Shipped"/>
    <n v="826"/>
  </r>
  <r>
    <n v="115"/>
    <s v="Customer_115"/>
    <s v="ORD-72778"/>
    <d v="2025-01-10T00:00:00"/>
    <n v="1"/>
    <x v="1"/>
    <x v="5"/>
    <x v="6"/>
    <x v="2"/>
    <n v="2"/>
    <n v="797"/>
    <x v="0"/>
    <s v="Returned"/>
    <n v="1116"/>
  </r>
  <r>
    <n v="116"/>
    <s v="Customer_116"/>
    <s v="ORD-63660"/>
    <d v="2025-10-30T00:00:00"/>
    <n v="4"/>
    <x v="1"/>
    <x v="3"/>
    <x v="8"/>
    <x v="0"/>
    <n v="4"/>
    <n v="797"/>
    <x v="0"/>
    <s v="Processing"/>
    <n v="1116"/>
  </r>
  <r>
    <n v="117"/>
    <s v="Customer_117"/>
    <s v="ORD-72751"/>
    <d v="2025-02-12T00:00:00"/>
    <n v="1"/>
    <x v="1"/>
    <x v="4"/>
    <x v="0"/>
    <x v="5"/>
    <n v="2"/>
    <n v="10000"/>
    <x v="0"/>
    <s v="Processing"/>
    <n v="20000"/>
  </r>
  <r>
    <n v="118"/>
    <s v="Customer_118"/>
    <s v="ORD-96061"/>
    <d v="2025-05-31T00:00:00"/>
    <n v="2"/>
    <x v="1"/>
    <x v="6"/>
    <x v="2"/>
    <x v="2"/>
    <n v="5"/>
    <n v="248"/>
    <x v="1"/>
    <s v="Processing"/>
    <n v="1239"/>
  </r>
  <r>
    <n v="119"/>
    <s v="Customer_119"/>
    <s v="ORD-76016"/>
    <d v="2024-12-19T00:00:00"/>
    <n v="4"/>
    <x v="0"/>
    <x v="1"/>
    <x v="9"/>
    <x v="1"/>
    <n v="4"/>
    <n v="438"/>
    <x v="0"/>
    <s v="Processing"/>
    <n v="1753"/>
  </r>
  <r>
    <n v="120"/>
    <s v="Customer_120"/>
    <s v="ORD-14659"/>
    <d v="2025-06-13T00:00:00"/>
    <n v="2"/>
    <x v="1"/>
    <x v="8"/>
    <x v="10"/>
    <x v="4"/>
    <n v="5"/>
    <n v="300"/>
    <x v="3"/>
    <s v="Cancelled"/>
    <n v="1753"/>
  </r>
  <r>
    <n v="121"/>
    <s v="Customer_121"/>
    <s v="ORD-80067"/>
    <d v="2025-10-11T00:00:00"/>
    <n v="4"/>
    <x v="1"/>
    <x v="3"/>
    <x v="9"/>
    <x v="1"/>
    <n v="4"/>
    <n v="523"/>
    <x v="3"/>
    <s v="Delivered"/>
    <n v="2092"/>
  </r>
  <r>
    <n v="122"/>
    <s v="Customer_122"/>
    <s v="ORD-21443"/>
    <d v="2025-05-16T00:00:00"/>
    <n v="2"/>
    <x v="1"/>
    <x v="6"/>
    <x v="8"/>
    <x v="0"/>
    <n v="2"/>
    <n v="557"/>
    <x v="1"/>
    <s v="Shipped"/>
    <n v="1114"/>
  </r>
  <r>
    <n v="123"/>
    <s v="Customer_123"/>
    <s v="ORD-11314"/>
    <d v="2025-10-06T00:00:00"/>
    <n v="4"/>
    <x v="1"/>
    <x v="3"/>
    <x v="11"/>
    <x v="5"/>
    <n v="3"/>
    <n v="616"/>
    <x v="0"/>
    <s v="Cancelled"/>
    <n v="1848"/>
  </r>
  <r>
    <n v="124"/>
    <s v="Customer_124"/>
    <s v="ORD-46136"/>
    <d v="2025-05-31T00:00:00"/>
    <n v="2"/>
    <x v="1"/>
    <x v="6"/>
    <x v="4"/>
    <x v="2"/>
    <n v="5"/>
    <n v="616"/>
    <x v="1"/>
    <s v="Cancelled"/>
    <n v="1848"/>
  </r>
  <r>
    <n v="125"/>
    <s v="Customer_125"/>
    <s v="ORD-23202"/>
    <d v="2025-02-09T00:00:00"/>
    <n v="1"/>
    <x v="1"/>
    <x v="4"/>
    <x v="4"/>
    <x v="2"/>
    <n v="4"/>
    <n v="766"/>
    <x v="1"/>
    <s v="Shipped"/>
    <n v="3063"/>
  </r>
  <r>
    <n v="126"/>
    <s v="Customer_126"/>
    <s v="ORD-11261"/>
    <d v="2025-05-18T00:00:00"/>
    <n v="2"/>
    <x v="1"/>
    <x v="6"/>
    <x v="5"/>
    <x v="3"/>
    <n v="4"/>
    <n v="837"/>
    <x v="2"/>
    <s v="Cancelled"/>
    <n v="3347"/>
  </r>
  <r>
    <n v="127"/>
    <s v="Customer_127"/>
    <s v="ORD-65482"/>
    <d v="2025-05-12T00:00:00"/>
    <n v="2"/>
    <x v="1"/>
    <x v="6"/>
    <x v="0"/>
    <x v="0"/>
    <n v="5"/>
    <n v="336"/>
    <x v="2"/>
    <s v="Returned"/>
    <n v="1680"/>
  </r>
  <r>
    <n v="128"/>
    <s v="Customer_128"/>
    <s v="ORD-12270"/>
    <d v="2024-11-10T00:00:00"/>
    <n v="4"/>
    <x v="0"/>
    <x v="0"/>
    <x v="12"/>
    <x v="4"/>
    <n v="3"/>
    <n v="899"/>
    <x v="2"/>
    <s v="Delivered"/>
    <n v="2696"/>
  </r>
  <r>
    <n v="129"/>
    <s v="Customer_129"/>
    <s v="ORD-48863"/>
    <d v="2025-06-22T00:00:00"/>
    <n v="2"/>
    <x v="1"/>
    <x v="8"/>
    <x v="2"/>
    <x v="2"/>
    <n v="4"/>
    <n v="737"/>
    <x v="2"/>
    <s v="Returned"/>
    <n v="2947"/>
  </r>
  <r>
    <n v="130"/>
    <s v="Customer_130"/>
    <s v="ORD-34007"/>
    <d v="2025-08-15T00:00:00"/>
    <n v="3"/>
    <x v="1"/>
    <x v="9"/>
    <x v="1"/>
    <x v="1"/>
    <n v="2"/>
    <n v="737"/>
    <x v="2"/>
    <s v="Processing"/>
    <n v="2947"/>
  </r>
  <r>
    <n v="131"/>
    <s v="Customer_131"/>
    <s v="ORD-91396"/>
    <d v="2025-06-11T00:00:00"/>
    <n v="2"/>
    <x v="1"/>
    <x v="8"/>
    <x v="12"/>
    <x v="0"/>
    <n v="5"/>
    <n v="617"/>
    <x v="1"/>
    <s v="Shipped"/>
    <n v="3083"/>
  </r>
  <r>
    <n v="132"/>
    <s v="Customer_132"/>
    <s v="ORD-40186"/>
    <d v="2025-04-02T00:00:00"/>
    <n v="2"/>
    <x v="1"/>
    <x v="10"/>
    <x v="10"/>
    <x v="4"/>
    <n v="1"/>
    <n v="267"/>
    <x v="1"/>
    <s v="Delivered"/>
    <n v="267"/>
  </r>
  <r>
    <n v="133"/>
    <s v="Customer_133"/>
    <s v="ORD-68182"/>
    <d v="2024-12-05T00:00:00"/>
    <n v="4"/>
    <x v="0"/>
    <x v="1"/>
    <x v="3"/>
    <x v="6"/>
    <n v="5"/>
    <n v="343"/>
    <x v="3"/>
    <s v="Shipped"/>
    <n v="1716"/>
  </r>
  <r>
    <n v="134"/>
    <s v="Customer_134"/>
    <s v="ORD-16585"/>
    <d v="2025-10-04T00:00:00"/>
    <n v="4"/>
    <x v="1"/>
    <x v="3"/>
    <x v="13"/>
    <x v="3"/>
    <n v="5"/>
    <n v="592"/>
    <x v="1"/>
    <s v="Shipped"/>
    <n v="2958"/>
  </r>
  <r>
    <n v="135"/>
    <s v="Customer_135"/>
    <s v="ORD-33656"/>
    <d v="2025-02-09T00:00:00"/>
    <n v="1"/>
    <x v="1"/>
    <x v="4"/>
    <x v="14"/>
    <x v="4"/>
    <n v="4"/>
    <n v="446"/>
    <x v="0"/>
    <s v="Cancelled"/>
    <n v="1785"/>
  </r>
  <r>
    <n v="136"/>
    <s v="Customer_136"/>
    <s v="ORD-20985"/>
    <d v="2025-06-12T00:00:00"/>
    <n v="2"/>
    <x v="1"/>
    <x v="8"/>
    <x v="15"/>
    <x v="4"/>
    <n v="1"/>
    <n v="697"/>
    <x v="3"/>
    <s v="Delivered"/>
    <n v="697"/>
  </r>
  <r>
    <n v="137"/>
    <s v="Customer_137"/>
    <s v="ORD-91254"/>
    <d v="2025-02-23T00:00:00"/>
    <n v="1"/>
    <x v="1"/>
    <x v="4"/>
    <x v="11"/>
    <x v="0"/>
    <n v="3"/>
    <n v="100"/>
    <x v="0"/>
    <s v="Delivered"/>
    <n v="300"/>
  </r>
  <r>
    <n v="138"/>
    <s v="Customer_138"/>
    <s v="ORD-34319"/>
    <d v="2025-08-09T00:00:00"/>
    <n v="3"/>
    <x v="1"/>
    <x v="9"/>
    <x v="12"/>
    <x v="0"/>
    <n v="1"/>
    <n v="531"/>
    <x v="1"/>
    <s v="Processing"/>
    <n v="531"/>
  </r>
  <r>
    <n v="139"/>
    <s v="Customer_139"/>
    <s v="ORD-38418"/>
    <d v="2025-02-09T00:00:00"/>
    <n v="1"/>
    <x v="1"/>
    <x v="4"/>
    <x v="7"/>
    <x v="4"/>
    <n v="2"/>
    <n v="681"/>
    <x v="3"/>
    <s v="Cancelled"/>
    <n v="1363"/>
  </r>
  <r>
    <n v="140"/>
    <s v="Customer_140"/>
    <s v="ORD-67096"/>
    <d v="2025-02-26T00:00:00"/>
    <n v="1"/>
    <x v="1"/>
    <x v="4"/>
    <x v="6"/>
    <x v="2"/>
    <n v="4"/>
    <n v="589"/>
    <x v="3"/>
    <s v="Returned"/>
    <n v="2356"/>
  </r>
  <r>
    <n v="141"/>
    <s v="Customer_141"/>
    <s v="ORD-45059"/>
    <d v="2025-02-13T00:00:00"/>
    <n v="1"/>
    <x v="1"/>
    <x v="4"/>
    <x v="6"/>
    <x v="2"/>
    <n v="3"/>
    <n v="546"/>
    <x v="0"/>
    <s v="Returned"/>
    <n v="1638"/>
  </r>
  <r>
    <n v="142"/>
    <s v="Customer_142"/>
    <s v="ORD-69018"/>
    <d v="2025-10-30T00:00:00"/>
    <n v="4"/>
    <x v="1"/>
    <x v="3"/>
    <x v="5"/>
    <x v="3"/>
    <n v="5"/>
    <n v="645"/>
    <x v="3"/>
    <s v="Shipped"/>
    <n v="2258"/>
  </r>
  <r>
    <n v="142"/>
    <s v="Customer_142"/>
    <s v="ORD-69018"/>
    <d v="2025-10-30T00:00:00"/>
    <n v="4"/>
    <x v="1"/>
    <x v="3"/>
    <x v="5"/>
    <x v="3"/>
    <n v="5"/>
    <n v="645"/>
    <x v="3"/>
    <s v="Shipped"/>
    <n v="3226"/>
  </r>
  <r>
    <n v="143"/>
    <s v="Customer_143"/>
    <s v="ORD-14329"/>
    <d v="2025-07-11T00:00:00"/>
    <n v="3"/>
    <x v="1"/>
    <x v="7"/>
    <x v="13"/>
    <x v="3"/>
    <n v="5"/>
    <n v="827"/>
    <x v="2"/>
    <s v="Cancelled"/>
    <n v="4134"/>
  </r>
  <r>
    <n v="144"/>
    <s v="Customer_144"/>
    <s v="ORD-89452"/>
    <d v="2025-01-27T00:00:00"/>
    <n v="1"/>
    <x v="1"/>
    <x v="5"/>
    <x v="16"/>
    <x v="1"/>
    <n v="5"/>
    <n v="849"/>
    <x v="2"/>
    <s v="Processing"/>
    <n v="4245"/>
  </r>
  <r>
    <n v="145"/>
    <s v="Customer_145"/>
    <s v="ORD-75314"/>
    <d v="2023-05-01T00:00:00"/>
    <n v="2"/>
    <x v="2"/>
    <x v="6"/>
    <x v="17"/>
    <x v="4"/>
    <n v="2"/>
    <n v="861"/>
    <x v="2"/>
    <s v="Returned"/>
    <n v="1722"/>
  </r>
  <r>
    <n v="146"/>
    <s v="Customer_146"/>
    <s v="ORD-32755"/>
    <d v="2025-07-09T00:00:00"/>
    <n v="3"/>
    <x v="1"/>
    <x v="7"/>
    <x v="9"/>
    <x v="5"/>
    <n v="2"/>
    <n v="705"/>
    <x v="2"/>
    <s v="Processing"/>
    <n v="1411"/>
  </r>
  <r>
    <n v="147"/>
    <s v="Customer_147"/>
    <s v="ORD-80707"/>
    <d v="2025-05-01T00:00:00"/>
    <n v="2"/>
    <x v="1"/>
    <x v="6"/>
    <x v="18"/>
    <x v="3"/>
    <n v="4"/>
    <n v="596"/>
    <x v="0"/>
    <s v="Shipped"/>
    <n v="2385"/>
  </r>
  <r>
    <n v="148"/>
    <s v="Customer_148"/>
    <s v="ORD-38423"/>
    <d v="2025-03-13T00:00:00"/>
    <n v="1"/>
    <x v="1"/>
    <x v="2"/>
    <x v="1"/>
    <x v="1"/>
    <n v="1"/>
    <n v="661"/>
    <x v="0"/>
    <s v="Returned"/>
    <n v="661"/>
  </r>
  <r>
    <n v="149"/>
    <s v="Customer_149"/>
    <s v="ORD-95911"/>
    <d v="2025-06-29T00:00:00"/>
    <n v="2"/>
    <x v="1"/>
    <x v="8"/>
    <x v="4"/>
    <x v="2"/>
    <n v="5"/>
    <n v="896"/>
    <x v="2"/>
    <s v="Cancelled"/>
    <n v="4482"/>
  </r>
  <r>
    <n v="150"/>
    <s v="Customer_150"/>
    <s v="ORD-76902"/>
    <d v="2024-11-27T00:00:00"/>
    <n v="4"/>
    <x v="0"/>
    <x v="0"/>
    <x v="10"/>
    <x v="1"/>
    <n v="1"/>
    <n v="206"/>
    <x v="3"/>
    <s v="Returned"/>
    <n v="206"/>
  </r>
  <r>
    <n v="151"/>
    <s v="Customer_151"/>
    <s v="ORD-56552"/>
    <d v="2025-07-01T00:00:00"/>
    <n v="3"/>
    <x v="1"/>
    <x v="7"/>
    <x v="4"/>
    <x v="2"/>
    <n v="2"/>
    <n v="457"/>
    <x v="1"/>
    <s v="Processing"/>
    <n v="640"/>
  </r>
  <r>
    <n v="152"/>
    <s v="Customer_152"/>
    <s v="ORD-72869"/>
    <d v="2025-09-22T00:00:00"/>
    <n v="3"/>
    <x v="1"/>
    <x v="11"/>
    <x v="12"/>
    <x v="0"/>
    <n v="3"/>
    <n v="233"/>
    <x v="1"/>
    <s v="Returned"/>
    <n v="699"/>
  </r>
  <r>
    <n v="153"/>
    <s v="Customer_153"/>
    <s v="ORD-29721"/>
    <d v="2025-07-16T00:00:00"/>
    <n v="3"/>
    <x v="1"/>
    <x v="7"/>
    <x v="10"/>
    <x v="1"/>
    <n v="4"/>
    <n v="279"/>
    <x v="0"/>
    <s v="Processing"/>
    <n v="1116"/>
  </r>
  <r>
    <n v="154"/>
    <s v="Customer_154"/>
    <s v="ORD-95990"/>
    <d v="2025-02-21T00:00:00"/>
    <n v="1"/>
    <x v="1"/>
    <x v="4"/>
    <x v="0"/>
    <x v="0"/>
    <n v="5"/>
    <n v="790"/>
    <x v="0"/>
    <s v="Cancelled"/>
    <n v="3948"/>
  </r>
  <r>
    <n v="155"/>
    <s v="Customer_155"/>
    <s v="ORD-20182"/>
    <d v="2025-05-01T00:00:00"/>
    <n v="2"/>
    <x v="1"/>
    <x v="6"/>
    <x v="5"/>
    <x v="3"/>
    <n v="1"/>
    <n v="41"/>
    <x v="1"/>
    <s v="Returned"/>
    <n v="41"/>
  </r>
  <r>
    <n v="156"/>
    <s v="Customer_156"/>
    <s v="ORD-34679"/>
    <d v="2024-11-28T00:00:00"/>
    <n v="4"/>
    <x v="0"/>
    <x v="0"/>
    <x v="19"/>
    <x v="3"/>
    <n v="2"/>
    <n v="41"/>
    <x v="2"/>
    <s v="Shipped"/>
    <n v="41"/>
  </r>
  <r>
    <n v="157"/>
    <s v="Customer_157"/>
    <s v="ORD-34407"/>
    <d v="2025-11-06T00:00:00"/>
    <n v="4"/>
    <x v="1"/>
    <x v="0"/>
    <x v="18"/>
    <x v="3"/>
    <n v="4"/>
    <n v="275"/>
    <x v="2"/>
    <s v="Processing"/>
    <n v="1100"/>
  </r>
  <r>
    <n v="158"/>
    <s v="Customer_158"/>
    <s v="ORD-35817"/>
    <d v="2025-04-05T00:00:00"/>
    <n v="2"/>
    <x v="1"/>
    <x v="10"/>
    <x v="14"/>
    <x v="4"/>
    <n v="1"/>
    <n v="934"/>
    <x v="0"/>
    <s v="Shipped"/>
    <n v="934"/>
  </r>
  <r>
    <n v="159"/>
    <s v="Customer_159"/>
    <s v="ORD-98162"/>
    <d v="2025-07-28T00:00:00"/>
    <n v="3"/>
    <x v="1"/>
    <x v="7"/>
    <x v="8"/>
    <x v="0"/>
    <n v="3"/>
    <n v="163"/>
    <x v="1"/>
    <s v="Shipped"/>
    <n v="489"/>
  </r>
  <r>
    <n v="160"/>
    <s v="Customer_160"/>
    <s v="ORD-96037"/>
    <d v="2025-01-03T00:00:00"/>
    <n v="1"/>
    <x v="1"/>
    <x v="5"/>
    <x v="2"/>
    <x v="2"/>
    <n v="5"/>
    <n v="243"/>
    <x v="0"/>
    <s v="Returned"/>
    <n v="1213"/>
  </r>
  <r>
    <n v="161"/>
    <s v="Customer_161"/>
    <s v="ORD-27653"/>
    <d v="2024-12-15T00:00:00"/>
    <n v="4"/>
    <x v="0"/>
    <x v="1"/>
    <x v="2"/>
    <x v="2"/>
    <n v="4"/>
    <n v="209"/>
    <x v="2"/>
    <s v="Shipped"/>
    <n v="837"/>
  </r>
  <r>
    <n v="162"/>
    <s v="Customer_162"/>
    <s v="ORD-27743"/>
    <d v="2025-05-19T00:00:00"/>
    <n v="2"/>
    <x v="1"/>
    <x v="6"/>
    <x v="0"/>
    <x v="0"/>
    <n v="2"/>
    <n v="156"/>
    <x v="3"/>
    <s v="Returned"/>
    <n v="312"/>
  </r>
  <r>
    <n v="163"/>
    <s v="Customer_163"/>
    <s v="ORD-24378"/>
    <d v="2023-01-05T00:00:00"/>
    <n v="1"/>
    <x v="2"/>
    <x v="5"/>
    <x v="14"/>
    <x v="4"/>
    <n v="3"/>
    <n v="235"/>
    <x v="0"/>
    <s v="Shipped"/>
    <n v="706"/>
  </r>
  <r>
    <n v="164"/>
    <s v="Customer_164"/>
    <s v="ORD-23010"/>
    <d v="2025-02-09T00:00:00"/>
    <n v="1"/>
    <x v="1"/>
    <x v="4"/>
    <x v="1"/>
    <x v="1"/>
    <n v="3"/>
    <n v="588"/>
    <x v="3"/>
    <s v="Returned"/>
    <n v="706"/>
  </r>
  <r>
    <n v="165"/>
    <s v="Customer_165"/>
    <s v="ORD-55695"/>
    <d v="2024-11-08T00:00:00"/>
    <n v="4"/>
    <x v="0"/>
    <x v="0"/>
    <x v="5"/>
    <x v="3"/>
    <n v="2"/>
    <n v="443"/>
    <x v="3"/>
    <s v="Delivered"/>
    <n v="886"/>
  </r>
  <r>
    <n v="166"/>
    <s v="Customer_166"/>
    <s v="ORD-97756"/>
    <d v="2025-07-03T00:00:00"/>
    <n v="3"/>
    <x v="1"/>
    <x v="7"/>
    <x v="13"/>
    <x v="4"/>
    <n v="2"/>
    <n v="569"/>
    <x v="0"/>
    <s v="Shipped"/>
    <n v="1139"/>
  </r>
  <r>
    <n v="167"/>
    <s v="Customer_167"/>
    <s v="ORD-30329"/>
    <d v="2025-08-07T00:00:00"/>
    <n v="3"/>
    <x v="1"/>
    <x v="9"/>
    <x v="9"/>
    <x v="1"/>
    <n v="2"/>
    <n v="594"/>
    <x v="0"/>
    <s v="Processing"/>
    <n v="1139"/>
  </r>
  <r>
    <n v="168"/>
    <s v="Customer_168"/>
    <s v="ORD-53430"/>
    <d v="2025-11-04T00:00:00"/>
    <n v="4"/>
    <x v="1"/>
    <x v="0"/>
    <x v="3"/>
    <x v="2"/>
    <n v="2"/>
    <n v="141"/>
    <x v="1"/>
    <s v="Cancelled"/>
    <n v="283"/>
  </r>
  <r>
    <n v="169"/>
    <s v="Customer_169"/>
    <s v="ORD-75539"/>
    <d v="2025-08-12T00:00:00"/>
    <n v="3"/>
    <x v="1"/>
    <x v="9"/>
    <x v="9"/>
    <x v="1"/>
    <n v="1"/>
    <n v="582"/>
    <x v="3"/>
    <s v="Returned"/>
    <n v="582"/>
  </r>
  <r>
    <n v="170"/>
    <s v="Customer_170"/>
    <s v="ORD-21530"/>
    <d v="2025-10-03T00:00:00"/>
    <n v="4"/>
    <x v="1"/>
    <x v="3"/>
    <x v="19"/>
    <x v="3"/>
    <n v="5"/>
    <n v="742"/>
    <x v="2"/>
    <s v="Processing"/>
    <n v="3708"/>
  </r>
  <r>
    <n v="171"/>
    <s v="Customer_171"/>
    <s v="ORD-99790"/>
    <d v="2024-12-06T00:00:00"/>
    <n v="4"/>
    <x v="0"/>
    <x v="1"/>
    <x v="5"/>
    <x v="3"/>
    <n v="3"/>
    <n v="689"/>
    <x v="1"/>
    <s v="Processing"/>
    <n v="2066"/>
  </r>
  <r>
    <n v="172"/>
    <s v="Customer_172"/>
    <s v="ORD-48008"/>
    <d v="2024-11-18T00:00:00"/>
    <n v="4"/>
    <x v="0"/>
    <x v="0"/>
    <x v="4"/>
    <x v="2"/>
    <n v="2"/>
    <n v="943"/>
    <x v="2"/>
    <s v="Returned"/>
    <n v="1886"/>
  </r>
  <r>
    <n v="173"/>
    <s v="Customer_173"/>
    <s v="ORD-42171"/>
    <d v="2025-10-11T00:00:00"/>
    <n v="4"/>
    <x v="1"/>
    <x v="3"/>
    <x v="12"/>
    <x v="0"/>
    <n v="5"/>
    <n v="352"/>
    <x v="3"/>
    <s v="Shipped"/>
    <n v="1759"/>
  </r>
  <r>
    <n v="174"/>
    <s v="Customer_174"/>
    <s v="ORD-16766"/>
    <d v="2025-09-20T00:00:00"/>
    <n v="3"/>
    <x v="1"/>
    <x v="11"/>
    <x v="8"/>
    <x v="4"/>
    <n v="4"/>
    <n v="187"/>
    <x v="3"/>
    <s v="Returned"/>
    <n v="750"/>
  </r>
  <r>
    <n v="175"/>
    <s v="Customer_175"/>
    <s v="ORD-56651"/>
    <d v="2025-02-24T00:00:00"/>
    <n v="1"/>
    <x v="1"/>
    <x v="4"/>
    <x v="15"/>
    <x v="4"/>
    <n v="1"/>
    <n v="111"/>
    <x v="3"/>
    <s v="Processing"/>
    <n v="111"/>
  </r>
  <r>
    <n v="175"/>
    <s v="Customer_175"/>
    <s v="ORD-56651"/>
    <d v="2025-02-24T00:00:00"/>
    <n v="1"/>
    <x v="1"/>
    <x v="4"/>
    <x v="15"/>
    <x v="4"/>
    <n v="1"/>
    <n v="111"/>
    <x v="3"/>
    <s v="Processing"/>
    <n v="78"/>
  </r>
  <r>
    <n v="176"/>
    <s v="Customer_176"/>
    <s v="ORD-95794"/>
    <d v="2025-07-22T00:00:00"/>
    <n v="3"/>
    <x v="1"/>
    <x v="7"/>
    <x v="4"/>
    <x v="2"/>
    <n v="5"/>
    <n v="531"/>
    <x v="0"/>
    <s v="Shipped"/>
    <n v="2653"/>
  </r>
  <r>
    <n v="177"/>
    <s v="Customer_177"/>
    <s v="ORD-64136"/>
    <d v="2025-07-28T00:00:00"/>
    <n v="3"/>
    <x v="1"/>
    <x v="7"/>
    <x v="17"/>
    <x v="4"/>
    <n v="1"/>
    <n v="69"/>
    <x v="2"/>
    <s v="Returned"/>
    <n v="69"/>
  </r>
  <r>
    <n v="178"/>
    <s v="Customer_178"/>
    <s v="ORD-89906"/>
    <d v="2025-09-18T00:00:00"/>
    <n v="3"/>
    <x v="1"/>
    <x v="11"/>
    <x v="1"/>
    <x v="1"/>
    <n v="3"/>
    <n v="472"/>
    <x v="1"/>
    <s v="Returned"/>
    <n v="1416"/>
  </r>
  <r>
    <n v="179"/>
    <s v="Customer_179"/>
    <s v="ORD-99328"/>
    <d v="2025-09-03T00:00:00"/>
    <n v="3"/>
    <x v="1"/>
    <x v="11"/>
    <x v="10"/>
    <x v="1"/>
    <n v="3"/>
    <n v="869"/>
    <x v="1"/>
    <s v="Delivered"/>
    <n v="2606"/>
  </r>
  <r>
    <n v="180"/>
    <s v="Customer_180"/>
    <s v="ORD-86629"/>
    <d v="2025-03-26T00:00:00"/>
    <n v="1"/>
    <x v="1"/>
    <x v="2"/>
    <x v="17"/>
    <x v="1"/>
    <n v="2"/>
    <n v="418"/>
    <x v="3"/>
    <s v="Processing"/>
    <n v="837"/>
  </r>
  <r>
    <n v="181"/>
    <s v="Customer_181"/>
    <s v="ORD-54481"/>
    <d v="2024-12-29T00:00:00"/>
    <n v="4"/>
    <x v="0"/>
    <x v="1"/>
    <x v="7"/>
    <x v="6"/>
    <n v="1"/>
    <n v="266"/>
    <x v="0"/>
    <s v="Cancelled"/>
    <n v="266"/>
  </r>
  <r>
    <n v="182"/>
    <s v="Customer_182"/>
    <s v="ORD-79672"/>
    <d v="2025-08-03T00:00:00"/>
    <n v="3"/>
    <x v="1"/>
    <x v="9"/>
    <x v="5"/>
    <x v="6"/>
    <n v="4"/>
    <n v="538"/>
    <x v="1"/>
    <s v="Processing"/>
    <n v="2153"/>
  </r>
  <r>
    <n v="183"/>
    <s v="Customer_183"/>
    <s v="ORD-20916"/>
    <d v="2025-03-10T00:00:00"/>
    <n v="1"/>
    <x v="1"/>
    <x v="2"/>
    <x v="5"/>
    <x v="3"/>
    <n v="5"/>
    <n v="538"/>
    <x v="0"/>
    <s v="Returned"/>
    <n v="2153"/>
  </r>
  <r>
    <n v="184"/>
    <s v="Customer_184"/>
    <s v="ORD-67799"/>
    <d v="2025-02-15T00:00:00"/>
    <n v="1"/>
    <x v="1"/>
    <x v="4"/>
    <x v="19"/>
    <x v="3"/>
    <n v="4"/>
    <n v="101"/>
    <x v="2"/>
    <s v="Processing"/>
    <n v="405"/>
  </r>
  <r>
    <n v="185"/>
    <s v="Customer_185"/>
    <s v="ORD-57123"/>
    <d v="2025-08-14T00:00:00"/>
    <n v="3"/>
    <x v="1"/>
    <x v="9"/>
    <x v="16"/>
    <x v="1"/>
    <n v="2"/>
    <n v="731"/>
    <x v="0"/>
    <s v="Cancelled"/>
    <n v="1023"/>
  </r>
  <r>
    <n v="186"/>
    <s v="Customer_186"/>
    <s v="ORD-90569"/>
    <d v="2025-10-06T00:00:00"/>
    <n v="4"/>
    <x v="1"/>
    <x v="3"/>
    <x v="17"/>
    <x v="4"/>
    <n v="1"/>
    <n v="365"/>
    <x v="2"/>
    <s v="Delivered"/>
    <n v="365"/>
  </r>
  <r>
    <n v="187"/>
    <s v="Customer_187"/>
    <s v="ORD-41292"/>
    <d v="2024-11-19T00:00:00"/>
    <n v="4"/>
    <x v="0"/>
    <x v="0"/>
    <x v="7"/>
    <x v="4"/>
    <n v="3"/>
    <n v="883"/>
    <x v="2"/>
    <s v="Returned"/>
    <n v="2649"/>
  </r>
  <r>
    <n v="188"/>
    <s v="Customer_188"/>
    <s v="ORD-58590"/>
    <d v="2024-11-19T00:00:00"/>
    <n v="4"/>
    <x v="0"/>
    <x v="0"/>
    <x v="8"/>
    <x v="0"/>
    <n v="5"/>
    <n v="504"/>
    <x v="0"/>
    <s v="Shipped"/>
    <n v="2520"/>
  </r>
  <r>
    <n v="189"/>
    <s v="Customer_189"/>
    <s v="ORD-30627"/>
    <d v="2025-08-14T00:00:00"/>
    <n v="3"/>
    <x v="1"/>
    <x v="9"/>
    <x v="12"/>
    <x v="0"/>
    <n v="1"/>
    <n v="815"/>
    <x v="0"/>
    <s v="Returned"/>
    <n v="815"/>
  </r>
  <r>
    <n v="190"/>
    <s v="Customer_190"/>
    <s v="ORD-38469"/>
    <d v="2025-06-29T00:00:00"/>
    <n v="2"/>
    <x v="1"/>
    <x v="8"/>
    <x v="11"/>
    <x v="0"/>
    <n v="1"/>
    <n v="920"/>
    <x v="2"/>
    <s v="Processing"/>
    <n v="920"/>
  </r>
  <r>
    <n v="191"/>
    <s v="Customer_191"/>
    <s v="ORD-41810"/>
    <d v="2025-07-18T00:00:00"/>
    <n v="3"/>
    <x v="1"/>
    <x v="7"/>
    <x v="6"/>
    <x v="2"/>
    <n v="2"/>
    <n v="881"/>
    <x v="0"/>
    <s v="Returned"/>
    <n v="1762"/>
  </r>
  <r>
    <n v="194"/>
    <s v="Customer_194"/>
    <s v="ORD-69764"/>
    <d v="2025-02-10T00:00:00"/>
    <n v="1"/>
    <x v="1"/>
    <x v="4"/>
    <x v="12"/>
    <x v="0"/>
    <n v="5"/>
    <n v="945"/>
    <x v="0"/>
    <s v="Returned"/>
    <n v="4723"/>
  </r>
  <r>
    <n v="195"/>
    <s v="Customer_195"/>
    <s v="ORD-82876"/>
    <d v="2025-06-19T00:00:00"/>
    <n v="2"/>
    <x v="1"/>
    <x v="8"/>
    <x v="3"/>
    <x v="2"/>
    <n v="5"/>
    <n v="817"/>
    <x v="0"/>
    <s v="Returned"/>
    <n v="4087"/>
  </r>
  <r>
    <n v="197"/>
    <s v="Customer_197"/>
    <s v="ORD-79139"/>
    <d v="2025-06-23T00:00:00"/>
    <n v="2"/>
    <x v="1"/>
    <x v="8"/>
    <x v="0"/>
    <x v="0"/>
    <n v="1"/>
    <n v="160"/>
    <x v="1"/>
    <s v="Cancelled"/>
    <n v="160"/>
  </r>
  <r>
    <n v="198"/>
    <s v="Customer_198"/>
    <s v="ORD-14608"/>
    <d v="2025-07-27T00:00:00"/>
    <n v="3"/>
    <x v="1"/>
    <x v="7"/>
    <x v="11"/>
    <x v="0"/>
    <n v="2"/>
    <n v="497"/>
    <x v="0"/>
    <s v="Shipped"/>
    <n v="994"/>
  </r>
  <r>
    <n v="199"/>
    <s v="Customer_199"/>
    <s v="ORD-82922"/>
    <d v="2025-01-22T00:00:00"/>
    <n v="1"/>
    <x v="1"/>
    <x v="5"/>
    <x v="0"/>
    <x v="0"/>
    <n v="5"/>
    <n v="372"/>
    <x v="3"/>
    <s v="Shipped"/>
    <n v="186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1861D4-5A57-45D4-A18E-6018099E588C}" name="Customers Count"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A4" firstHeaderRow="1" firstDataRow="1" firstDataCol="0"/>
  <pivotFields count="14">
    <pivotField dataField="1" numFmtId="49" showAll="0"/>
    <pivotField showAll="0"/>
    <pivotField showAll="0"/>
    <pivotField numFmtId="14" showAll="0"/>
    <pivotField numFmtId="49" showAll="0"/>
    <pivotField numFmtId="49" showAll="0">
      <items count="4">
        <item x="2"/>
        <item x="0"/>
        <item x="1"/>
        <item t="default"/>
      </items>
    </pivotField>
    <pivotField numFmtId="49" showAll="0">
      <items count="13">
        <item x="5"/>
        <item x="4"/>
        <item x="2"/>
        <item x="10"/>
        <item x="6"/>
        <item x="8"/>
        <item x="7"/>
        <item x="9"/>
        <item x="11"/>
        <item x="3"/>
        <item x="0"/>
        <item x="1"/>
        <item t="default"/>
      </items>
    </pivotField>
    <pivotField showAll="0"/>
    <pivotField showAll="0">
      <items count="8">
        <item x="2"/>
        <item x="3"/>
        <item x="5"/>
        <item x="4"/>
        <item x="0"/>
        <item x="6"/>
        <item x="1"/>
        <item t="default"/>
      </items>
    </pivotField>
    <pivotField numFmtId="1" showAll="0"/>
    <pivotField numFmtId="164" showAll="0"/>
    <pivotField showAll="0"/>
    <pivotField showAll="0"/>
    <pivotField numFmtId="164" showAll="0"/>
  </pivotFields>
  <rowItems count="1">
    <i/>
  </rowItems>
  <colItems count="1">
    <i/>
  </colItems>
  <dataFields count="1">
    <dataField name="Count of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1D74CA7-A703-4C0C-8C08-C04F25DB6E3E}" name="PivotTable1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21:B42" firstHeaderRow="1" firstDataRow="1" firstDataCol="1"/>
  <pivotFields count="14">
    <pivotField numFmtId="49" showAll="0"/>
    <pivotField showAll="0"/>
    <pivotField showAll="0"/>
    <pivotField numFmtId="14" showAll="0"/>
    <pivotField numFmtId="49" showAll="0"/>
    <pivotField numFmtId="49" showAll="0"/>
    <pivotField numFmtId="49" showAll="0"/>
    <pivotField axis="axisRow" showAll="0">
      <items count="21">
        <item x="9"/>
        <item x="3"/>
        <item x="0"/>
        <item x="4"/>
        <item x="6"/>
        <item x="16"/>
        <item x="15"/>
        <item x="18"/>
        <item x="19"/>
        <item x="12"/>
        <item x="17"/>
        <item x="8"/>
        <item x="2"/>
        <item x="5"/>
        <item x="7"/>
        <item x="14"/>
        <item x="1"/>
        <item x="13"/>
        <item x="11"/>
        <item x="10"/>
        <item t="default"/>
      </items>
    </pivotField>
    <pivotField showAll="0"/>
    <pivotField numFmtId="1" showAll="0"/>
    <pivotField numFmtId="164" showAll="0"/>
    <pivotField showAll="0">
      <items count="5">
        <item x="2"/>
        <item x="0"/>
        <item x="3"/>
        <item x="1"/>
        <item t="default"/>
      </items>
    </pivotField>
    <pivotField showAll="0"/>
    <pivotField dataField="1" numFmtId="164" showAll="0"/>
  </pivotFields>
  <rowFields count="1">
    <field x="7"/>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Total" fld="13"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0846532-679E-41C0-8987-20D009F26554}" name="PivotTable1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L3:M7" firstHeaderRow="1" firstDataRow="1" firstDataCol="1"/>
  <pivotFields count="14">
    <pivotField numFmtId="49" showAll="0"/>
    <pivotField showAll="0"/>
    <pivotField showAll="0"/>
    <pivotField numFmtId="14" showAll="0"/>
    <pivotField numFmtId="49" showAll="0"/>
    <pivotField axis="axisRow" numFmtId="49" showAll="0">
      <items count="4">
        <item x="2"/>
        <item x="0"/>
        <item x="1"/>
        <item t="default"/>
      </items>
    </pivotField>
    <pivotField numFmtId="49" showAll="0"/>
    <pivotField showAll="0"/>
    <pivotField showAll="0"/>
    <pivotField numFmtId="1" showAll="0"/>
    <pivotField numFmtId="164" showAll="0"/>
    <pivotField showAll="0">
      <items count="5">
        <item x="2"/>
        <item x="0"/>
        <item x="3"/>
        <item x="1"/>
        <item t="default"/>
      </items>
    </pivotField>
    <pivotField showAll="0"/>
    <pivotField dataField="1" numFmtId="164" showAll="0"/>
  </pivotFields>
  <rowFields count="1">
    <field x="5"/>
  </rowFields>
  <rowItems count="4">
    <i>
      <x/>
    </i>
    <i>
      <x v="1"/>
    </i>
    <i>
      <x v="2"/>
    </i>
    <i t="grand">
      <x/>
    </i>
  </rowItems>
  <colItems count="1">
    <i/>
  </colItems>
  <dataFields count="1">
    <dataField name="Sum of Total" fld="13" baseField="0" baseItem="0"/>
  </dataFields>
  <chartFormats count="8">
    <chartFormat chart="0"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5" count="1" selected="0">
            <x v="0"/>
          </reference>
        </references>
      </pivotArea>
    </chartFormat>
    <chartFormat chart="4" format="7">
      <pivotArea type="data" outline="0" fieldPosition="0">
        <references count="2">
          <reference field="4294967294" count="1" selected="0">
            <x v="0"/>
          </reference>
          <reference field="5" count="1" selected="0">
            <x v="1"/>
          </reference>
        </references>
      </pivotArea>
    </chartFormat>
    <chartFormat chart="4" format="8">
      <pivotArea type="data" outline="0" fieldPosition="0">
        <references count="2">
          <reference field="4294967294" count="1" selected="0">
            <x v="0"/>
          </reference>
          <reference field="5" count="1" selected="0">
            <x v="2"/>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748AD77-CAA7-4CC9-9F8F-FB6AB5DCEBF7}" name="Total Sales "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G3:H8" firstHeaderRow="1" firstDataRow="1" firstDataCol="1"/>
  <pivotFields count="14">
    <pivotField numFmtId="49" showAll="0"/>
    <pivotField showAll="0"/>
    <pivotField showAll="0"/>
    <pivotField numFmtId="14" showAll="0"/>
    <pivotField numFmtId="49" showAll="0"/>
    <pivotField numFmtId="49" showAll="0"/>
    <pivotField numFmtId="49" showAll="0"/>
    <pivotField showAll="0"/>
    <pivotField showAll="0"/>
    <pivotField numFmtId="1" showAll="0"/>
    <pivotField numFmtId="164" showAll="0"/>
    <pivotField axis="axisRow" showAll="0">
      <items count="5">
        <item x="2"/>
        <item x="0"/>
        <item x="3"/>
        <item x="1"/>
        <item t="default"/>
      </items>
    </pivotField>
    <pivotField showAll="0"/>
    <pivotField dataField="1" numFmtId="164" showAll="0"/>
  </pivotFields>
  <rowFields count="1">
    <field x="11"/>
  </rowFields>
  <rowItems count="5">
    <i>
      <x/>
    </i>
    <i>
      <x v="1"/>
    </i>
    <i>
      <x v="2"/>
    </i>
    <i>
      <x v="3"/>
    </i>
    <i t="grand">
      <x/>
    </i>
  </rowItems>
  <colItems count="1">
    <i/>
  </colItems>
  <dataFields count="1">
    <dataField name="Sum of Total" fld="13" baseField="0" baseItem="0"/>
  </dataField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1" count="1" selected="0">
            <x v="2"/>
          </reference>
        </references>
      </pivotArea>
    </chartFormat>
    <chartFormat chart="3" format="4">
      <pivotArea type="data" outline="0" fieldPosition="0">
        <references count="2">
          <reference field="4294967294" count="1" selected="0">
            <x v="0"/>
          </reference>
          <reference field="1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B5720EB-823F-424F-9B15-16EAFB8FCDA8}" name="Total Sales"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D3:D4" firstHeaderRow="1" firstDataRow="1" firstDataCol="0"/>
  <pivotFields count="14">
    <pivotField numFmtId="49" showAll="0"/>
    <pivotField showAll="0"/>
    <pivotField showAll="0"/>
    <pivotField numFmtId="14" showAll="0"/>
    <pivotField numFmtId="49" showAll="0"/>
    <pivotField numFmtId="49" showAll="0"/>
    <pivotField numFmtId="49" showAll="0"/>
    <pivotField showAll="0"/>
    <pivotField showAll="0"/>
    <pivotField numFmtId="1" showAll="0"/>
    <pivotField numFmtId="164" showAll="0"/>
    <pivotField showAll="0"/>
    <pivotField showAll="0"/>
    <pivotField dataField="1" numFmtId="164" showAll="0"/>
  </pivotFields>
  <rowItems count="1">
    <i/>
  </rowItems>
  <colItems count="1">
    <i/>
  </colItems>
  <dataFields count="1">
    <dataField name="Sum of Total"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84883F4-B391-4419-BC8D-FA01A64ED4B5}" autoFormatId="16" applyNumberFormats="0" applyBorderFormats="0" applyFontFormats="0" applyPatternFormats="0" applyAlignmentFormats="0" applyWidthHeightFormats="0">
  <queryTableRefresh nextId="15">
    <queryTableFields count="14">
      <queryTableField id="1" name="ID" tableColumnId="1"/>
      <queryTableField id="2" name=" Customer Name" tableColumnId="2"/>
      <queryTableField id="3" name="Order ID" tableColumnId="3"/>
      <queryTableField id="4" name="Order Date" tableColumnId="4"/>
      <queryTableField id="5" name="Quarter" tableColumnId="5"/>
      <queryTableField id="6" name="Year" tableColumnId="6"/>
      <queryTableField id="7" name="Month" tableColumnId="7"/>
      <queryTableField id="8" name=" Product" tableColumnId="8"/>
      <queryTableField id="9" name="Category" tableColumnId="9"/>
      <queryTableField id="10" name="Quantity" tableColumnId="10"/>
      <queryTableField id="11" name="Price" tableColumnId="11"/>
      <queryTableField id="12" name="Payment Method" tableColumnId="12"/>
      <queryTableField id="13" name="Status" tableColumnId="13"/>
      <queryTableField id="14" name="Total"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DB968BAE-953B-4229-A9CA-11176CCA6CD7}" sourceName="Year">
  <pivotTables>
    <pivotTable tabId="7" name="Customers Count"/>
  </pivotTables>
  <data>
    <tabular pivotCacheId="1644534283">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4392763-93F8-4CDA-970E-C73B700D2AA7}" sourceName="Category">
  <pivotTables>
    <pivotTable tabId="7" name="Customers Count"/>
  </pivotTables>
  <data>
    <tabular pivotCacheId="1644534283">
      <items count="7">
        <i x="2" s="1"/>
        <i x="3" s="1"/>
        <i x="5" s="1"/>
        <i x="4" s="1"/>
        <i x="0" s="1"/>
        <i x="6"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E0F040EE-5095-45D7-B509-EAD8569BD06C}" cache="Slicer_Year" caption="Year" rowHeight="241300"/>
  <slicer name="Category" xr10:uid="{051BFFEE-21B1-4400-9FC0-244C26D5AA91}" cache="Slicer_Category" caption="Category"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4F8E868-5BC8-41D0-B15C-D8B2D1093DAF}" name="Table1" displayName="Table1" ref="A1:K103" totalsRowShown="0" headerRowDxfId="28" dataDxfId="27">
  <autoFilter ref="A1:K103" xr:uid="{24F8E868-5BC8-41D0-B15C-D8B2D1093DAF}"/>
  <sortState xmlns:xlrd2="http://schemas.microsoft.com/office/spreadsheetml/2017/richdata2" ref="A2:K103">
    <sortCondition ref="B1:B104"/>
  </sortState>
  <tableColumns count="11">
    <tableColumn id="1" xr3:uid="{B2517575-2811-4680-AF6E-24113E2184A1}" name="ID" dataDxfId="26"/>
    <tableColumn id="2" xr3:uid="{F20921C4-BCA3-4DC4-A008-1822E68912A7}" name=" Customer Name" dataDxfId="25"/>
    <tableColumn id="3" xr3:uid="{CDBB57E3-DA61-4C4C-983C-44D01C15B9FB}" name="Order ID" dataDxfId="24"/>
    <tableColumn id="4" xr3:uid="{D3E7C141-4172-4DEE-9A69-BCF90A50A5D7}" name="Order Date" dataDxfId="23"/>
    <tableColumn id="5" xr3:uid="{95FF0791-F797-44DD-A824-59EC6510DC48}" name=" Product" dataDxfId="22"/>
    <tableColumn id="6" xr3:uid="{CFD0863A-219E-441D-93D7-09C6596B2E3B}" name="Category" dataDxfId="21"/>
    <tableColumn id="7" xr3:uid="{F12D6A3E-7E55-45FA-8841-A78CBF30DFEC}" name="Quantity" dataDxfId="20"/>
    <tableColumn id="8" xr3:uid="{4063539F-F9A3-4885-827E-A9F699204765}" name="Price" dataDxfId="19"/>
    <tableColumn id="9" xr3:uid="{593FD536-13C0-4328-A5EF-45160A15F8D4}" name="Payment Method" dataDxfId="18"/>
    <tableColumn id="10" xr3:uid="{4B469CC0-D26F-4ACC-BE7C-E9C205D05296}" name="Status" dataDxfId="17"/>
    <tableColumn id="11" xr3:uid="{E30F3EDD-570D-45A8-8CB2-A5E342485E3A}" name="Total" dataDxfId="16"/>
  </tableColumns>
  <tableStyleInfo name="TableStyleLight1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30016CC-4196-4431-AEB5-D1B048548F4A}" name="Table1_2" displayName="Table1_2" ref="A1:N98" tableType="queryTable" totalsRowShown="0" headerRowDxfId="15" dataDxfId="14">
  <autoFilter ref="A1:N98" xr:uid="{830016CC-4196-4431-AEB5-D1B048548F4A}"/>
  <tableColumns count="14">
    <tableColumn id="1" xr3:uid="{BEE35E06-6077-4912-A2F0-6204DACE00DE}" uniqueName="1" name="ID" queryTableFieldId="1" dataDxfId="13"/>
    <tableColumn id="2" xr3:uid="{C750B7AE-6F3F-4994-A4FA-B68E1919F1C0}" uniqueName="2" name=" Customer Name" queryTableFieldId="2" dataDxfId="12"/>
    <tableColumn id="3" xr3:uid="{1A2ECCD4-96F7-4328-9FDC-A8BC7A8E86B1}" uniqueName="3" name="Order ID" queryTableFieldId="3" dataDxfId="11"/>
    <tableColumn id="4" xr3:uid="{02DD621F-E4D6-4BDC-B614-08371E6F681F}" uniqueName="4" name="Order Date" queryTableFieldId="4" dataDxfId="10"/>
    <tableColumn id="5" xr3:uid="{9611A65C-0635-4FD6-914C-D5B0E7ECBED5}" uniqueName="5" name="Quarter" queryTableFieldId="5" dataDxfId="9"/>
    <tableColumn id="6" xr3:uid="{311B1590-B2BC-4AD7-82F0-ECE47C6BCF3A}" uniqueName="6" name="Year" queryTableFieldId="6" dataDxfId="8"/>
    <tableColumn id="7" xr3:uid="{3889A4C3-E717-4836-9D2D-EA46289C8D22}" uniqueName="7" name="Month" queryTableFieldId="7" dataDxfId="7"/>
    <tableColumn id="8" xr3:uid="{9925054C-56A2-49FA-96AB-9776E6DAD8C6}" uniqueName="8" name=" Product" queryTableFieldId="8" dataDxfId="6"/>
    <tableColumn id="9" xr3:uid="{74E9F8EB-2C94-49AD-B83D-00A74BF5B08E}" uniqueName="9" name="Category" queryTableFieldId="9" dataDxfId="5"/>
    <tableColumn id="10" xr3:uid="{93388A43-2E97-4D97-9D5E-610E32A15E81}" uniqueName="10" name="Quantity" queryTableFieldId="10" dataDxfId="4"/>
    <tableColumn id="11" xr3:uid="{A1BA288A-80FF-4FBC-B3AD-76CD53D4DC0F}" uniqueName="11" name="Price" queryTableFieldId="11" dataDxfId="3"/>
    <tableColumn id="12" xr3:uid="{D0DF757D-D0DB-4757-80D3-08706E71E095}" uniqueName="12" name="Payment Method" queryTableFieldId="12" dataDxfId="2"/>
    <tableColumn id="13" xr3:uid="{487D9A92-6826-4B87-BF7A-97FC7B791361}" uniqueName="13" name="Status" queryTableFieldId="13" dataDxfId="1"/>
    <tableColumn id="14" xr3:uid="{CE87C1A6-487C-467A-9960-91C2663F36AE}" uniqueName="14" name="Total" queryTableFieldId="14" dataDxfId="0"/>
  </tableColumns>
  <tableStyleInfo name="TableStyleLight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3"/>
  <sheetViews>
    <sheetView workbookViewId="0"/>
  </sheetViews>
  <sheetFormatPr defaultRowHeight="15" x14ac:dyDescent="0.25"/>
  <cols>
    <col min="1" max="1" width="7.42578125" style="5" bestFit="1" customWidth="1"/>
    <col min="2" max="2" width="21" style="5" bestFit="1" customWidth="1"/>
    <col min="3" max="3" width="13" style="5" bestFit="1" customWidth="1"/>
    <col min="4" max="4" width="15.85546875" style="1" bestFit="1" customWidth="1"/>
    <col min="5" max="5" width="13.28515625" bestFit="1" customWidth="1"/>
    <col min="6" max="6" width="13.42578125" bestFit="1" customWidth="1"/>
    <col min="7" max="7" width="13.28515625" bestFit="1" customWidth="1"/>
    <col min="8" max="8" width="12.7109375" bestFit="1" customWidth="1"/>
    <col min="9" max="9" width="21.85546875" bestFit="1" customWidth="1"/>
    <col min="10" max="10" width="11" bestFit="1" customWidth="1"/>
    <col min="11" max="11" width="10" bestFit="1" customWidth="1"/>
  </cols>
  <sheetData>
    <row r="1" spans="1:11" s="2" customFormat="1" x14ac:dyDescent="0.25">
      <c r="A1" s="4" t="s">
        <v>0</v>
      </c>
      <c r="B1" s="4" t="s">
        <v>255</v>
      </c>
      <c r="C1" s="4" t="s">
        <v>254</v>
      </c>
      <c r="D1" s="3" t="s">
        <v>253</v>
      </c>
      <c r="E1" s="2" t="s">
        <v>1</v>
      </c>
      <c r="F1" s="2" t="s">
        <v>2</v>
      </c>
      <c r="G1" s="2" t="s">
        <v>3</v>
      </c>
      <c r="H1" s="2" t="s">
        <v>4</v>
      </c>
      <c r="I1" s="2" t="s">
        <v>256</v>
      </c>
      <c r="J1" s="2" t="s">
        <v>5</v>
      </c>
      <c r="K1" s="2" t="s">
        <v>6</v>
      </c>
    </row>
    <row r="2" spans="1:11" x14ac:dyDescent="0.25">
      <c r="A2" s="4">
        <v>100</v>
      </c>
      <c r="B2" s="4" t="s">
        <v>7</v>
      </c>
      <c r="C2" s="4" t="s">
        <v>8</v>
      </c>
      <c r="D2" s="3">
        <v>45618</v>
      </c>
      <c r="E2" s="2" t="s">
        <v>9</v>
      </c>
      <c r="F2" s="2" t="s">
        <v>10</v>
      </c>
      <c r="G2" s="2">
        <v>3</v>
      </c>
      <c r="H2" s="2">
        <v>38</v>
      </c>
      <c r="I2" s="2" t="s">
        <v>11</v>
      </c>
      <c r="J2" s="2" t="s">
        <v>12</v>
      </c>
      <c r="K2" s="2">
        <v>114</v>
      </c>
    </row>
    <row r="3" spans="1:11" x14ac:dyDescent="0.25">
      <c r="A3" s="4">
        <v>101</v>
      </c>
      <c r="B3" s="4" t="s">
        <v>13</v>
      </c>
      <c r="C3" s="4" t="s">
        <v>14</v>
      </c>
      <c r="D3" s="3">
        <v>45843</v>
      </c>
      <c r="E3" s="2" t="s">
        <v>15</v>
      </c>
      <c r="F3" s="2" t="s">
        <v>16</v>
      </c>
      <c r="G3" s="2">
        <v>2</v>
      </c>
      <c r="H3" s="2" t="s">
        <v>17</v>
      </c>
      <c r="I3" s="2" t="s">
        <v>18</v>
      </c>
      <c r="J3" s="2" t="s">
        <v>19</v>
      </c>
      <c r="K3" s="2"/>
    </row>
    <row r="4" spans="1:11" x14ac:dyDescent="0.25">
      <c r="A4" s="4">
        <v>102</v>
      </c>
      <c r="B4" s="4" t="s">
        <v>20</v>
      </c>
      <c r="C4" s="4" t="s">
        <v>21</v>
      </c>
      <c r="D4" s="3">
        <v>45649</v>
      </c>
      <c r="E4" s="2" t="s">
        <v>22</v>
      </c>
      <c r="F4" s="2" t="s">
        <v>23</v>
      </c>
      <c r="G4" s="2">
        <v>1</v>
      </c>
      <c r="H4" s="2">
        <v>389.05</v>
      </c>
      <c r="I4" s="2" t="s">
        <v>18</v>
      </c>
      <c r="J4" s="2" t="s">
        <v>24</v>
      </c>
      <c r="K4" s="2">
        <v>389.05</v>
      </c>
    </row>
    <row r="5" spans="1:11" x14ac:dyDescent="0.25">
      <c r="A5" s="4">
        <v>103</v>
      </c>
      <c r="B5" s="4" t="s">
        <v>25</v>
      </c>
      <c r="C5" s="4" t="s">
        <v>26</v>
      </c>
      <c r="D5" s="3">
        <v>45735</v>
      </c>
      <c r="E5" s="2" t="s">
        <v>27</v>
      </c>
      <c r="F5" s="2" t="s">
        <v>28</v>
      </c>
      <c r="G5" s="2">
        <v>5</v>
      </c>
      <c r="H5" s="2">
        <v>233.92</v>
      </c>
      <c r="I5" s="2" t="s">
        <v>18</v>
      </c>
      <c r="J5" s="2" t="s">
        <v>19</v>
      </c>
      <c r="K5" s="2">
        <v>1169.5999999999999</v>
      </c>
    </row>
    <row r="6" spans="1:11" x14ac:dyDescent="0.25">
      <c r="A6" s="4">
        <v>104</v>
      </c>
      <c r="B6" s="4" t="s">
        <v>29</v>
      </c>
      <c r="C6" s="4" t="s">
        <v>30</v>
      </c>
      <c r="D6" s="3">
        <v>45950</v>
      </c>
      <c r="E6" s="2" t="s">
        <v>31</v>
      </c>
      <c r="F6" s="2" t="s">
        <v>28</v>
      </c>
      <c r="G6" s="2">
        <v>1</v>
      </c>
      <c r="H6" s="2">
        <v>552.51</v>
      </c>
      <c r="I6" s="2" t="s">
        <v>11</v>
      </c>
      <c r="J6" s="2" t="s">
        <v>19</v>
      </c>
      <c r="K6" s="2">
        <v>552.51</v>
      </c>
    </row>
    <row r="7" spans="1:11" x14ac:dyDescent="0.25">
      <c r="A7" s="4">
        <v>105</v>
      </c>
      <c r="B7" s="4" t="s">
        <v>32</v>
      </c>
      <c r="C7" s="4" t="s">
        <v>33</v>
      </c>
      <c r="D7" s="3">
        <v>45616</v>
      </c>
      <c r="E7" s="2" t="s">
        <v>22</v>
      </c>
      <c r="F7" s="2" t="s">
        <v>23</v>
      </c>
      <c r="G7" s="2">
        <v>3</v>
      </c>
      <c r="H7" s="2">
        <v>122.06</v>
      </c>
      <c r="I7" s="2" t="s">
        <v>11</v>
      </c>
      <c r="J7" s="2" t="s">
        <v>34</v>
      </c>
      <c r="K7" s="2">
        <v>366.18</v>
      </c>
    </row>
    <row r="8" spans="1:11" x14ac:dyDescent="0.25">
      <c r="A8" s="4">
        <v>106</v>
      </c>
      <c r="B8" s="4" t="s">
        <v>35</v>
      </c>
      <c r="C8" s="4" t="s">
        <v>36</v>
      </c>
      <c r="D8" s="3">
        <v>45690</v>
      </c>
      <c r="E8" s="2" t="s">
        <v>9</v>
      </c>
      <c r="F8" s="2" t="s">
        <v>10</v>
      </c>
      <c r="G8" s="2"/>
      <c r="H8" s="2">
        <v>978.63</v>
      </c>
      <c r="I8" s="2" t="s">
        <v>37</v>
      </c>
      <c r="J8" s="2" t="s">
        <v>19</v>
      </c>
      <c r="K8" s="2"/>
    </row>
    <row r="9" spans="1:11" x14ac:dyDescent="0.25">
      <c r="A9" s="4">
        <v>107</v>
      </c>
      <c r="B9" s="4" t="s">
        <v>38</v>
      </c>
      <c r="C9" s="4" t="s">
        <v>39</v>
      </c>
      <c r="D9" s="3">
        <v>45660</v>
      </c>
      <c r="E9" s="2" t="s">
        <v>31</v>
      </c>
      <c r="F9" s="2" t="s">
        <v>28</v>
      </c>
      <c r="G9" s="2">
        <v>5</v>
      </c>
      <c r="H9" s="2">
        <v>587.67999999999995</v>
      </c>
      <c r="I9" s="2" t="s">
        <v>18</v>
      </c>
      <c r="J9" s="2" t="s">
        <v>40</v>
      </c>
      <c r="K9" s="2">
        <v>2938.4</v>
      </c>
    </row>
    <row r="10" spans="1:11" x14ac:dyDescent="0.25">
      <c r="A10" s="4">
        <v>108</v>
      </c>
      <c r="B10" s="4" t="s">
        <v>41</v>
      </c>
      <c r="C10" s="4" t="s">
        <v>42</v>
      </c>
      <c r="D10" s="3">
        <v>45953</v>
      </c>
      <c r="E10" s="2" t="s">
        <v>27</v>
      </c>
      <c r="F10" s="2" t="s">
        <v>28</v>
      </c>
      <c r="G10" s="2">
        <v>1</v>
      </c>
      <c r="H10" s="2">
        <v>600.29</v>
      </c>
      <c r="I10" s="2" t="s">
        <v>11</v>
      </c>
      <c r="J10" s="2" t="s">
        <v>19</v>
      </c>
      <c r="K10" s="2">
        <v>600.29</v>
      </c>
    </row>
    <row r="11" spans="1:11" x14ac:dyDescent="0.25">
      <c r="A11" s="4">
        <v>109</v>
      </c>
      <c r="B11" s="4" t="s">
        <v>43</v>
      </c>
      <c r="C11" s="4" t="s">
        <v>44</v>
      </c>
      <c r="D11" s="3">
        <v>45780</v>
      </c>
      <c r="E11" s="2" t="s">
        <v>22</v>
      </c>
      <c r="F11" s="2" t="s">
        <v>23</v>
      </c>
      <c r="G11" s="2">
        <v>5</v>
      </c>
      <c r="H11" s="2">
        <v>168.34</v>
      </c>
      <c r="I11" s="2" t="s">
        <v>45</v>
      </c>
      <c r="J11" s="2" t="s">
        <v>12</v>
      </c>
      <c r="K11" s="2">
        <v>841.7</v>
      </c>
    </row>
    <row r="12" spans="1:11" x14ac:dyDescent="0.25">
      <c r="A12" s="4">
        <v>110</v>
      </c>
      <c r="B12" s="4" t="s">
        <v>46</v>
      </c>
      <c r="C12" s="4" t="s">
        <v>47</v>
      </c>
      <c r="D12" s="3">
        <v>45926</v>
      </c>
      <c r="E12" s="2" t="s">
        <v>48</v>
      </c>
      <c r="F12" s="2" t="s">
        <v>49</v>
      </c>
      <c r="G12" s="2">
        <v>5</v>
      </c>
      <c r="H12" s="2" t="s">
        <v>50</v>
      </c>
      <c r="I12" s="2" t="s">
        <v>11</v>
      </c>
      <c r="J12" s="2" t="s">
        <v>34</v>
      </c>
      <c r="K12" s="2"/>
    </row>
    <row r="13" spans="1:11" x14ac:dyDescent="0.25">
      <c r="A13" s="4">
        <v>111</v>
      </c>
      <c r="B13" s="4" t="s">
        <v>51</v>
      </c>
      <c r="C13" s="4" t="s">
        <v>52</v>
      </c>
      <c r="D13" s="3">
        <v>45952</v>
      </c>
      <c r="E13" s="2" t="s">
        <v>53</v>
      </c>
      <c r="F13" s="2" t="s">
        <v>28</v>
      </c>
      <c r="G13" s="2">
        <v>2</v>
      </c>
      <c r="H13" s="2">
        <v>865.77</v>
      </c>
      <c r="I13" s="2" t="s">
        <v>45</v>
      </c>
      <c r="J13" s="2" t="s">
        <v>40</v>
      </c>
      <c r="K13" s="2">
        <v>1731.54</v>
      </c>
    </row>
    <row r="14" spans="1:11" x14ac:dyDescent="0.25">
      <c r="A14" s="4">
        <v>112</v>
      </c>
      <c r="B14" s="4" t="s">
        <v>54</v>
      </c>
      <c r="C14" s="4" t="s">
        <v>55</v>
      </c>
      <c r="D14" s="3">
        <v>45718</v>
      </c>
      <c r="E14" s="2" t="s">
        <v>56</v>
      </c>
      <c r="F14" s="2" t="s">
        <v>57</v>
      </c>
      <c r="G14" s="2">
        <v>4</v>
      </c>
      <c r="H14" s="2">
        <v>752.13</v>
      </c>
      <c r="I14" s="2" t="s">
        <v>37</v>
      </c>
      <c r="J14" s="2" t="s">
        <v>24</v>
      </c>
      <c r="K14" s="2">
        <v>3008.52</v>
      </c>
    </row>
    <row r="15" spans="1:11" x14ac:dyDescent="0.25">
      <c r="A15" s="4">
        <v>113</v>
      </c>
      <c r="B15" s="4" t="s">
        <v>58</v>
      </c>
      <c r="C15" s="4" t="s">
        <v>59</v>
      </c>
      <c r="D15" s="3">
        <v>45862</v>
      </c>
      <c r="E15" s="2" t="s">
        <v>60</v>
      </c>
      <c r="F15" s="2" t="s">
        <v>28</v>
      </c>
      <c r="G15" s="2">
        <v>1</v>
      </c>
      <c r="H15" s="2">
        <v>411.81</v>
      </c>
      <c r="I15" s="2" t="s">
        <v>45</v>
      </c>
      <c r="J15" s="2" t="s">
        <v>19</v>
      </c>
      <c r="K15" s="2">
        <v>411.81</v>
      </c>
    </row>
    <row r="16" spans="1:11" x14ac:dyDescent="0.25">
      <c r="A16" s="4">
        <v>114</v>
      </c>
      <c r="B16" s="4" t="s">
        <v>61</v>
      </c>
      <c r="C16" s="4" t="s">
        <v>62</v>
      </c>
      <c r="D16" s="3" t="s">
        <v>63</v>
      </c>
      <c r="E16" s="2" t="s">
        <v>15</v>
      </c>
      <c r="F16" s="2" t="s">
        <v>16</v>
      </c>
      <c r="G16" s="2">
        <v>2</v>
      </c>
      <c r="H16" s="2">
        <v>413.13</v>
      </c>
      <c r="I16" s="2" t="s">
        <v>11</v>
      </c>
      <c r="J16" s="2" t="s">
        <v>12</v>
      </c>
      <c r="K16" s="2">
        <v>826.26</v>
      </c>
    </row>
    <row r="17" spans="1:11" x14ac:dyDescent="0.25">
      <c r="A17" s="4">
        <v>115</v>
      </c>
      <c r="B17" s="4" t="s">
        <v>64</v>
      </c>
      <c r="C17" s="4" t="s">
        <v>65</v>
      </c>
      <c r="D17" s="3">
        <v>45667</v>
      </c>
      <c r="E17" s="2" t="s">
        <v>60</v>
      </c>
      <c r="F17" s="2" t="s">
        <v>28</v>
      </c>
      <c r="G17" s="2">
        <v>2</v>
      </c>
      <c r="H17" s="2">
        <v>796.84</v>
      </c>
      <c r="I17" s="2" t="s">
        <v>11</v>
      </c>
      <c r="J17" s="2" t="s">
        <v>40</v>
      </c>
      <c r="K17" s="2">
        <v>1115.576</v>
      </c>
    </row>
    <row r="18" spans="1:11" x14ac:dyDescent="0.25">
      <c r="A18" s="4">
        <v>116</v>
      </c>
      <c r="B18" s="4" t="s">
        <v>66</v>
      </c>
      <c r="C18" s="4" t="s">
        <v>67</v>
      </c>
      <c r="D18" s="3">
        <v>45960</v>
      </c>
      <c r="E18" s="2" t="s">
        <v>68</v>
      </c>
      <c r="F18" s="2" t="s">
        <v>10</v>
      </c>
      <c r="G18" s="2">
        <v>4</v>
      </c>
      <c r="H18" s="2"/>
      <c r="I18" s="2" t="s">
        <v>11</v>
      </c>
      <c r="J18" s="2" t="s">
        <v>19</v>
      </c>
      <c r="K18" s="2"/>
    </row>
    <row r="19" spans="1:11" x14ac:dyDescent="0.25">
      <c r="A19" s="4">
        <v>117</v>
      </c>
      <c r="B19" s="4" t="s">
        <v>69</v>
      </c>
      <c r="C19" s="4" t="s">
        <v>70</v>
      </c>
      <c r="D19" s="3">
        <v>45700</v>
      </c>
      <c r="E19" s="2" t="s">
        <v>9</v>
      </c>
      <c r="F19" s="2" t="s">
        <v>71</v>
      </c>
      <c r="G19" s="2">
        <v>-2</v>
      </c>
      <c r="H19" s="2">
        <v>10000</v>
      </c>
      <c r="I19" s="2" t="s">
        <v>11</v>
      </c>
      <c r="J19" s="2" t="s">
        <v>19</v>
      </c>
      <c r="K19" s="2">
        <v>-200000</v>
      </c>
    </row>
    <row r="20" spans="1:11" x14ac:dyDescent="0.25">
      <c r="A20" s="4">
        <v>118</v>
      </c>
      <c r="B20" s="4" t="s">
        <v>72</v>
      </c>
      <c r="C20" s="4" t="s">
        <v>73</v>
      </c>
      <c r="D20" s="3">
        <v>45808</v>
      </c>
      <c r="E20" s="2" t="s">
        <v>27</v>
      </c>
      <c r="F20" s="2" t="s">
        <v>28</v>
      </c>
      <c r="G20" s="2">
        <v>5</v>
      </c>
      <c r="H20" s="2">
        <v>247.82</v>
      </c>
      <c r="I20" s="2" t="s">
        <v>18</v>
      </c>
      <c r="J20" s="2" t="s">
        <v>19</v>
      </c>
      <c r="K20" s="2">
        <v>1239.0999999999999</v>
      </c>
    </row>
    <row r="21" spans="1:11" x14ac:dyDescent="0.25">
      <c r="A21" s="4">
        <v>119</v>
      </c>
      <c r="B21" s="4" t="s">
        <v>74</v>
      </c>
      <c r="C21" s="4" t="s">
        <v>75</v>
      </c>
      <c r="D21" s="3">
        <v>45645</v>
      </c>
      <c r="E21" s="2" t="s">
        <v>48</v>
      </c>
      <c r="F21" s="2" t="s">
        <v>23</v>
      </c>
      <c r="G21" s="2">
        <v>4</v>
      </c>
      <c r="H21" s="2">
        <v>438.19</v>
      </c>
      <c r="I21" s="2" t="s">
        <v>11</v>
      </c>
      <c r="J21" s="2" t="s">
        <v>19</v>
      </c>
      <c r="K21" s="2">
        <v>1752.76</v>
      </c>
    </row>
    <row r="22" spans="1:11" x14ac:dyDescent="0.25">
      <c r="A22" s="4">
        <v>120</v>
      </c>
      <c r="B22" s="4" t="s">
        <v>76</v>
      </c>
      <c r="C22" s="4" t="s">
        <v>77</v>
      </c>
      <c r="D22" s="3">
        <v>45821</v>
      </c>
      <c r="E22" s="2" t="s">
        <v>78</v>
      </c>
      <c r="F22" s="2" t="s">
        <v>79</v>
      </c>
      <c r="G22" s="2">
        <v>5</v>
      </c>
      <c r="H22" s="2" t="s">
        <v>80</v>
      </c>
      <c r="I22" s="2" t="s">
        <v>45</v>
      </c>
      <c r="J22" s="2" t="s">
        <v>34</v>
      </c>
      <c r="K22" s="2"/>
    </row>
    <row r="23" spans="1:11" x14ac:dyDescent="0.25">
      <c r="A23" s="4">
        <v>121</v>
      </c>
      <c r="B23" s="4" t="s">
        <v>81</v>
      </c>
      <c r="C23" s="4" t="s">
        <v>82</v>
      </c>
      <c r="D23" s="3">
        <v>45941</v>
      </c>
      <c r="E23" s="2" t="s">
        <v>48</v>
      </c>
      <c r="F23" s="2" t="s">
        <v>23</v>
      </c>
      <c r="G23" s="2">
        <v>4</v>
      </c>
      <c r="H23" s="2">
        <v>523.01</v>
      </c>
      <c r="I23" s="2" t="s">
        <v>45</v>
      </c>
      <c r="J23" s="2" t="s">
        <v>24</v>
      </c>
      <c r="K23" s="2">
        <v>2092.04</v>
      </c>
    </row>
    <row r="24" spans="1:11" x14ac:dyDescent="0.25">
      <c r="A24" s="4">
        <v>122</v>
      </c>
      <c r="B24" s="4" t="s">
        <v>83</v>
      </c>
      <c r="C24" s="4" t="s">
        <v>84</v>
      </c>
      <c r="D24" s="3">
        <v>45793</v>
      </c>
      <c r="E24" s="2" t="s">
        <v>68</v>
      </c>
      <c r="F24" s="2" t="s">
        <v>10</v>
      </c>
      <c r="G24" s="2">
        <v>2</v>
      </c>
      <c r="H24" s="2">
        <v>556.92999999999995</v>
      </c>
      <c r="I24" s="2" t="s">
        <v>18</v>
      </c>
      <c r="J24" s="2" t="s">
        <v>12</v>
      </c>
      <c r="K24" s="2">
        <v>1113.8599999999999</v>
      </c>
    </row>
    <row r="25" spans="1:11" x14ac:dyDescent="0.25">
      <c r="A25" s="4">
        <v>123</v>
      </c>
      <c r="B25" s="4" t="s">
        <v>85</v>
      </c>
      <c r="C25" s="4" t="s">
        <v>86</v>
      </c>
      <c r="D25" s="3">
        <v>45936</v>
      </c>
      <c r="E25" s="2" t="s">
        <v>87</v>
      </c>
      <c r="F25" s="2" t="s">
        <v>71</v>
      </c>
      <c r="G25" s="2">
        <v>3</v>
      </c>
      <c r="H25" s="2">
        <v>615.91</v>
      </c>
      <c r="I25" s="2" t="s">
        <v>11</v>
      </c>
      <c r="J25" s="2" t="s">
        <v>34</v>
      </c>
      <c r="K25" s="2">
        <v>1847.73</v>
      </c>
    </row>
    <row r="26" spans="1:11" x14ac:dyDescent="0.25">
      <c r="A26" s="4">
        <v>124</v>
      </c>
      <c r="B26" s="4" t="s">
        <v>88</v>
      </c>
      <c r="C26" s="4" t="s">
        <v>89</v>
      </c>
      <c r="D26" s="3">
        <v>45808</v>
      </c>
      <c r="E26" s="2" t="s">
        <v>53</v>
      </c>
      <c r="F26" s="2" t="s">
        <v>28</v>
      </c>
      <c r="G26" s="2">
        <v>5</v>
      </c>
      <c r="H26" s="2"/>
      <c r="I26" s="2" t="s">
        <v>18</v>
      </c>
      <c r="J26" s="2" t="s">
        <v>34</v>
      </c>
      <c r="K26" s="2"/>
    </row>
    <row r="27" spans="1:11" x14ac:dyDescent="0.25">
      <c r="A27" s="4">
        <v>125</v>
      </c>
      <c r="B27" s="4" t="s">
        <v>90</v>
      </c>
      <c r="C27" s="4" t="s">
        <v>91</v>
      </c>
      <c r="D27" s="3">
        <v>45697</v>
      </c>
      <c r="E27" s="2" t="s">
        <v>53</v>
      </c>
      <c r="F27" s="2" t="s">
        <v>28</v>
      </c>
      <c r="G27" s="2">
        <v>4</v>
      </c>
      <c r="H27" s="2">
        <v>765.69</v>
      </c>
      <c r="I27" s="2" t="s">
        <v>18</v>
      </c>
      <c r="J27" s="2" t="s">
        <v>12</v>
      </c>
      <c r="K27" s="2">
        <v>3062.76</v>
      </c>
    </row>
    <row r="28" spans="1:11" x14ac:dyDescent="0.25">
      <c r="A28" s="4">
        <v>126</v>
      </c>
      <c r="B28" s="4" t="s">
        <v>92</v>
      </c>
      <c r="C28" s="4" t="s">
        <v>93</v>
      </c>
      <c r="D28" s="3">
        <v>45795</v>
      </c>
      <c r="E28" s="2" t="s">
        <v>56</v>
      </c>
      <c r="F28" s="2" t="s">
        <v>57</v>
      </c>
      <c r="G28" s="2">
        <v>4</v>
      </c>
      <c r="H28" s="2">
        <v>836.8</v>
      </c>
      <c r="I28" s="2" t="s">
        <v>37</v>
      </c>
      <c r="J28" s="2" t="s">
        <v>34</v>
      </c>
      <c r="K28" s="2">
        <v>3347.2</v>
      </c>
    </row>
    <row r="29" spans="1:11" x14ac:dyDescent="0.25">
      <c r="A29" s="4">
        <v>127</v>
      </c>
      <c r="B29" s="4" t="s">
        <v>94</v>
      </c>
      <c r="C29" s="4" t="s">
        <v>95</v>
      </c>
      <c r="D29" s="3">
        <v>45789</v>
      </c>
      <c r="E29" s="2" t="s">
        <v>9</v>
      </c>
      <c r="F29" s="2" t="s">
        <v>10</v>
      </c>
      <c r="G29" s="2">
        <v>5</v>
      </c>
      <c r="H29" s="2">
        <v>336.02</v>
      </c>
      <c r="I29" s="2" t="s">
        <v>37</v>
      </c>
      <c r="J29" s="2" t="s">
        <v>40</v>
      </c>
      <c r="K29" s="2">
        <v>1680.1</v>
      </c>
    </row>
    <row r="30" spans="1:11" x14ac:dyDescent="0.25">
      <c r="A30" s="4">
        <v>128</v>
      </c>
      <c r="B30" s="4" t="s">
        <v>96</v>
      </c>
      <c r="C30" s="4" t="s">
        <v>97</v>
      </c>
      <c r="D30" s="3">
        <v>45606</v>
      </c>
      <c r="E30" s="2" t="s">
        <v>98</v>
      </c>
      <c r="F30" s="2" t="s">
        <v>99</v>
      </c>
      <c r="G30" s="2">
        <v>3</v>
      </c>
      <c r="H30" s="2">
        <v>898.69</v>
      </c>
      <c r="I30" s="2" t="s">
        <v>37</v>
      </c>
      <c r="J30" s="2" t="s">
        <v>24</v>
      </c>
      <c r="K30" s="2">
        <v>2696.07</v>
      </c>
    </row>
    <row r="31" spans="1:11" x14ac:dyDescent="0.25">
      <c r="A31" s="4">
        <v>129</v>
      </c>
      <c r="B31" s="4" t="s">
        <v>100</v>
      </c>
      <c r="C31" s="4" t="s">
        <v>101</v>
      </c>
      <c r="D31" s="3">
        <v>45830</v>
      </c>
      <c r="E31" s="2" t="s">
        <v>27</v>
      </c>
      <c r="F31" s="2" t="s">
        <v>28</v>
      </c>
      <c r="G31" s="2">
        <v>4</v>
      </c>
      <c r="H31" s="2">
        <v>736.71</v>
      </c>
      <c r="I31" s="2" t="s">
        <v>37</v>
      </c>
      <c r="J31" s="2" t="s">
        <v>40</v>
      </c>
      <c r="K31" s="2">
        <v>2946.84</v>
      </c>
    </row>
    <row r="32" spans="1:11" x14ac:dyDescent="0.25">
      <c r="A32" s="4">
        <v>130</v>
      </c>
      <c r="B32" s="4" t="s">
        <v>102</v>
      </c>
      <c r="C32" s="4" t="s">
        <v>103</v>
      </c>
      <c r="D32" s="3">
        <v>45884</v>
      </c>
      <c r="E32" s="2" t="s">
        <v>22</v>
      </c>
      <c r="F32" s="2" t="s">
        <v>23</v>
      </c>
      <c r="G32" s="2">
        <v>2</v>
      </c>
      <c r="H32" s="2"/>
      <c r="I32" s="2" t="s">
        <v>37</v>
      </c>
      <c r="J32" s="2" t="s">
        <v>19</v>
      </c>
      <c r="K32" s="2"/>
    </row>
    <row r="33" spans="1:11" x14ac:dyDescent="0.25">
      <c r="A33" s="4">
        <v>131</v>
      </c>
      <c r="B33" s="4" t="s">
        <v>104</v>
      </c>
      <c r="C33" s="4" t="s">
        <v>105</v>
      </c>
      <c r="D33" s="3">
        <v>45819</v>
      </c>
      <c r="E33" s="2" t="s">
        <v>98</v>
      </c>
      <c r="F33" s="2" t="s">
        <v>10</v>
      </c>
      <c r="G33" s="2">
        <v>5</v>
      </c>
      <c r="H33" s="2">
        <v>616.63</v>
      </c>
      <c r="I33" s="2" t="s">
        <v>18</v>
      </c>
      <c r="J33" s="2" t="s">
        <v>12</v>
      </c>
      <c r="K33" s="2">
        <v>3083.15</v>
      </c>
    </row>
    <row r="34" spans="1:11" x14ac:dyDescent="0.25">
      <c r="A34" s="4">
        <v>132</v>
      </c>
      <c r="B34" s="4" t="s">
        <v>106</v>
      </c>
      <c r="C34" s="4" t="s">
        <v>107</v>
      </c>
      <c r="D34" s="3">
        <v>45749</v>
      </c>
      <c r="E34" s="2" t="s">
        <v>78</v>
      </c>
      <c r="F34" s="2" t="s">
        <v>79</v>
      </c>
      <c r="G34" s="2">
        <v>1</v>
      </c>
      <c r="H34" s="2">
        <v>266.7</v>
      </c>
      <c r="I34" s="2" t="s">
        <v>18</v>
      </c>
      <c r="J34" s="2" t="s">
        <v>24</v>
      </c>
      <c r="K34" s="2">
        <v>266.7</v>
      </c>
    </row>
    <row r="35" spans="1:11" x14ac:dyDescent="0.25">
      <c r="A35" s="4">
        <v>133</v>
      </c>
      <c r="B35" s="4" t="s">
        <v>108</v>
      </c>
      <c r="C35" s="4" t="s">
        <v>109</v>
      </c>
      <c r="D35" s="3">
        <v>45631</v>
      </c>
      <c r="E35" s="2" t="s">
        <v>31</v>
      </c>
      <c r="F35" s="2" t="s">
        <v>110</v>
      </c>
      <c r="G35" s="2">
        <v>5</v>
      </c>
      <c r="H35" s="2">
        <v>343.24</v>
      </c>
      <c r="I35" s="2" t="s">
        <v>45</v>
      </c>
      <c r="J35" s="2" t="s">
        <v>12</v>
      </c>
      <c r="K35" s="2">
        <v>1716.2</v>
      </c>
    </row>
    <row r="36" spans="1:11" x14ac:dyDescent="0.25">
      <c r="A36" s="4">
        <v>134</v>
      </c>
      <c r="B36" s="4" t="s">
        <v>111</v>
      </c>
      <c r="C36" s="4" t="s">
        <v>112</v>
      </c>
      <c r="D36" s="3">
        <v>45934</v>
      </c>
      <c r="E36" s="2" t="s">
        <v>113</v>
      </c>
      <c r="F36" s="2" t="s">
        <v>57</v>
      </c>
      <c r="G36" s="2">
        <v>-5</v>
      </c>
      <c r="H36" s="2">
        <v>591.53</v>
      </c>
      <c r="I36" s="2" t="s">
        <v>18</v>
      </c>
      <c r="J36" s="2" t="s">
        <v>12</v>
      </c>
      <c r="K36" s="2">
        <v>-2957.65</v>
      </c>
    </row>
    <row r="37" spans="1:11" x14ac:dyDescent="0.25">
      <c r="A37" s="4">
        <v>135</v>
      </c>
      <c r="B37" s="4" t="s">
        <v>114</v>
      </c>
      <c r="C37" s="4" t="s">
        <v>115</v>
      </c>
      <c r="D37" s="3">
        <v>45697</v>
      </c>
      <c r="E37" s="2" t="s">
        <v>116</v>
      </c>
      <c r="F37" s="2" t="s">
        <v>99</v>
      </c>
      <c r="G37" s="2">
        <v>4</v>
      </c>
      <c r="H37" s="2">
        <v>446.19</v>
      </c>
      <c r="I37" s="2" t="s">
        <v>11</v>
      </c>
      <c r="J37" s="2" t="s">
        <v>34</v>
      </c>
      <c r="K37" s="2">
        <v>1784.76</v>
      </c>
    </row>
    <row r="38" spans="1:11" x14ac:dyDescent="0.25">
      <c r="A38" s="4">
        <v>136</v>
      </c>
      <c r="B38" s="4" t="s">
        <v>117</v>
      </c>
      <c r="C38" s="4" t="s">
        <v>118</v>
      </c>
      <c r="D38" s="3">
        <v>45820</v>
      </c>
      <c r="E38" s="2" t="s">
        <v>119</v>
      </c>
      <c r="F38" s="2"/>
      <c r="G38" s="2">
        <v>1</v>
      </c>
      <c r="H38" s="2">
        <v>696.71</v>
      </c>
      <c r="I38" s="2" t="s">
        <v>45</v>
      </c>
      <c r="J38" s="2" t="s">
        <v>24</v>
      </c>
      <c r="K38" s="2">
        <v>696.71</v>
      </c>
    </row>
    <row r="39" spans="1:11" x14ac:dyDescent="0.25">
      <c r="A39" s="4">
        <v>137</v>
      </c>
      <c r="B39" s="4" t="s">
        <v>120</v>
      </c>
      <c r="C39" s="4" t="s">
        <v>121</v>
      </c>
      <c r="D39" s="3">
        <v>45711</v>
      </c>
      <c r="E39" s="2" t="s">
        <v>87</v>
      </c>
      <c r="F39" s="2" t="s">
        <v>10</v>
      </c>
      <c r="G39" s="2">
        <v>3</v>
      </c>
      <c r="H39" s="2">
        <v>-100</v>
      </c>
      <c r="I39" s="2" t="s">
        <v>11</v>
      </c>
      <c r="J39" s="2" t="s">
        <v>24</v>
      </c>
      <c r="K39" s="2">
        <v>-300</v>
      </c>
    </row>
    <row r="40" spans="1:11" x14ac:dyDescent="0.25">
      <c r="A40" s="4">
        <v>138</v>
      </c>
      <c r="B40" s="4" t="s">
        <v>122</v>
      </c>
      <c r="C40" s="4" t="s">
        <v>123</v>
      </c>
      <c r="D40" s="3">
        <v>45878</v>
      </c>
      <c r="E40" s="2" t="s">
        <v>98</v>
      </c>
      <c r="F40" s="2" t="s">
        <v>10</v>
      </c>
      <c r="G40" s="2">
        <v>1</v>
      </c>
      <c r="H40" s="2">
        <v>531.05999999999995</v>
      </c>
      <c r="I40" s="2" t="s">
        <v>18</v>
      </c>
      <c r="J40" s="2" t="s">
        <v>19</v>
      </c>
      <c r="K40" s="2">
        <v>531.05999999999995</v>
      </c>
    </row>
    <row r="41" spans="1:11" x14ac:dyDescent="0.25">
      <c r="A41" s="4">
        <v>139</v>
      </c>
      <c r="B41" s="4" t="s">
        <v>124</v>
      </c>
      <c r="C41" s="4" t="s">
        <v>125</v>
      </c>
      <c r="D41" s="3">
        <v>45697</v>
      </c>
      <c r="E41" s="2" t="s">
        <v>15</v>
      </c>
      <c r="F41" s="2" t="s">
        <v>16</v>
      </c>
      <c r="G41" s="2">
        <v>2</v>
      </c>
      <c r="H41" s="2">
        <v>681.38</v>
      </c>
      <c r="I41" s="2" t="s">
        <v>45</v>
      </c>
      <c r="J41" s="2" t="s">
        <v>34</v>
      </c>
      <c r="K41" s="2">
        <v>1362.76</v>
      </c>
    </row>
    <row r="42" spans="1:11" x14ac:dyDescent="0.25">
      <c r="A42" s="4">
        <v>140</v>
      </c>
      <c r="B42" s="4" t="s">
        <v>126</v>
      </c>
      <c r="C42" s="4" t="s">
        <v>127</v>
      </c>
      <c r="D42" s="3">
        <v>45714</v>
      </c>
      <c r="E42" s="2" t="s">
        <v>60</v>
      </c>
      <c r="F42" s="2" t="s">
        <v>28</v>
      </c>
      <c r="G42" s="2">
        <v>4</v>
      </c>
      <c r="H42" s="2">
        <v>588.98</v>
      </c>
      <c r="I42" s="2" t="s">
        <v>45</v>
      </c>
      <c r="J42" s="2" t="s">
        <v>40</v>
      </c>
      <c r="K42" s="2">
        <v>2355.92</v>
      </c>
    </row>
    <row r="43" spans="1:11" x14ac:dyDescent="0.25">
      <c r="A43" s="4">
        <v>141</v>
      </c>
      <c r="B43" s="4" t="s">
        <v>128</v>
      </c>
      <c r="C43" s="4" t="s">
        <v>129</v>
      </c>
      <c r="D43" s="3">
        <v>45701</v>
      </c>
      <c r="E43" s="2" t="s">
        <v>60</v>
      </c>
      <c r="F43" s="2" t="s">
        <v>28</v>
      </c>
      <c r="G43" s="2">
        <v>3</v>
      </c>
      <c r="H43" s="2">
        <v>546.04</v>
      </c>
      <c r="I43" s="2" t="s">
        <v>11</v>
      </c>
      <c r="J43" s="2" t="s">
        <v>40</v>
      </c>
      <c r="K43" s="2">
        <v>1638.12</v>
      </c>
    </row>
    <row r="44" spans="1:11" x14ac:dyDescent="0.25">
      <c r="A44" s="4">
        <v>142</v>
      </c>
      <c r="B44" s="4" t="s">
        <v>130</v>
      </c>
      <c r="C44" s="4" t="s">
        <v>131</v>
      </c>
      <c r="D44" s="3">
        <v>45960</v>
      </c>
      <c r="E44" s="2" t="s">
        <v>56</v>
      </c>
      <c r="F44" s="2" t="s">
        <v>57</v>
      </c>
      <c r="G44" s="2">
        <v>5</v>
      </c>
      <c r="H44" s="2">
        <v>645.26</v>
      </c>
      <c r="I44" s="2" t="s">
        <v>45</v>
      </c>
      <c r="J44" s="2" t="s">
        <v>12</v>
      </c>
      <c r="K44" s="2">
        <v>2258.41</v>
      </c>
    </row>
    <row r="45" spans="1:11" x14ac:dyDescent="0.25">
      <c r="A45" s="4">
        <v>142</v>
      </c>
      <c r="B45" s="4" t="s">
        <v>130</v>
      </c>
      <c r="C45" s="4" t="s">
        <v>131</v>
      </c>
      <c r="D45" s="3">
        <v>45960</v>
      </c>
      <c r="E45" s="2" t="s">
        <v>56</v>
      </c>
      <c r="F45" s="2" t="s">
        <v>57</v>
      </c>
      <c r="G45" s="2">
        <v>5</v>
      </c>
      <c r="H45" s="2">
        <v>645.26</v>
      </c>
      <c r="I45" s="2" t="s">
        <v>45</v>
      </c>
      <c r="J45" s="2" t="s">
        <v>12</v>
      </c>
      <c r="K45" s="2">
        <v>3226.3</v>
      </c>
    </row>
    <row r="46" spans="1:11" x14ac:dyDescent="0.25">
      <c r="A46" s="4">
        <v>143</v>
      </c>
      <c r="B46" s="4" t="s">
        <v>132</v>
      </c>
      <c r="C46" s="4" t="s">
        <v>133</v>
      </c>
      <c r="D46" s="3">
        <v>45849</v>
      </c>
      <c r="E46" s="2" t="s">
        <v>113</v>
      </c>
      <c r="F46" s="2" t="s">
        <v>57</v>
      </c>
      <c r="G46" s="2">
        <v>5</v>
      </c>
      <c r="H46" s="2">
        <v>826.77</v>
      </c>
      <c r="I46" s="2" t="s">
        <v>37</v>
      </c>
      <c r="J46" s="2" t="s">
        <v>34</v>
      </c>
      <c r="K46" s="2">
        <v>4133.8500000000004</v>
      </c>
    </row>
    <row r="47" spans="1:11" x14ac:dyDescent="0.25">
      <c r="A47" s="4">
        <v>144</v>
      </c>
      <c r="B47" s="4" t="s">
        <v>134</v>
      </c>
      <c r="C47" s="4" t="s">
        <v>135</v>
      </c>
      <c r="D47" s="3">
        <v>45684</v>
      </c>
      <c r="E47" s="2" t="s">
        <v>136</v>
      </c>
      <c r="F47" s="2" t="s">
        <v>23</v>
      </c>
      <c r="G47" s="2">
        <v>5</v>
      </c>
      <c r="H47" s="2">
        <v>849.07</v>
      </c>
      <c r="I47" s="2" t="s">
        <v>37</v>
      </c>
      <c r="J47" s="2" t="s">
        <v>19</v>
      </c>
      <c r="K47" s="2">
        <v>4245.3500000000004</v>
      </c>
    </row>
    <row r="48" spans="1:11" x14ac:dyDescent="0.25">
      <c r="A48" s="4">
        <v>145</v>
      </c>
      <c r="B48" s="4" t="s">
        <v>137</v>
      </c>
      <c r="C48" s="4" t="s">
        <v>138</v>
      </c>
      <c r="D48" s="3">
        <v>45047</v>
      </c>
      <c r="E48" s="2" t="s">
        <v>139</v>
      </c>
      <c r="F48" s="2" t="s">
        <v>16</v>
      </c>
      <c r="G48" s="2">
        <v>2</v>
      </c>
      <c r="H48" s="2">
        <v>860.99</v>
      </c>
      <c r="I48" s="2" t="s">
        <v>37</v>
      </c>
      <c r="J48" s="2" t="s">
        <v>40</v>
      </c>
      <c r="K48" s="2">
        <v>1721.98</v>
      </c>
    </row>
    <row r="49" spans="1:11" x14ac:dyDescent="0.25">
      <c r="A49" s="4">
        <v>146</v>
      </c>
      <c r="B49" s="4" t="s">
        <v>140</v>
      </c>
      <c r="C49" s="4" t="s">
        <v>141</v>
      </c>
      <c r="D49" s="3">
        <v>45847</v>
      </c>
      <c r="E49" s="2" t="s">
        <v>48</v>
      </c>
      <c r="F49" s="2" t="s">
        <v>71</v>
      </c>
      <c r="G49" s="2">
        <v>2</v>
      </c>
      <c r="H49" s="2">
        <v>705.42</v>
      </c>
      <c r="I49" s="2" t="s">
        <v>37</v>
      </c>
      <c r="J49" s="2" t="s">
        <v>19</v>
      </c>
      <c r="K49" s="2">
        <v>1410.84</v>
      </c>
    </row>
    <row r="50" spans="1:11" x14ac:dyDescent="0.25">
      <c r="A50" s="4">
        <v>147</v>
      </c>
      <c r="B50" s="4" t="s">
        <v>142</v>
      </c>
      <c r="C50" s="4" t="s">
        <v>143</v>
      </c>
      <c r="D50" s="3">
        <v>45778</v>
      </c>
      <c r="E50" s="2" t="s">
        <v>144</v>
      </c>
      <c r="F50" s="2" t="s">
        <v>57</v>
      </c>
      <c r="G50" s="2">
        <v>4</v>
      </c>
      <c r="H50" s="2">
        <v>596.15</v>
      </c>
      <c r="I50" s="2" t="s">
        <v>11</v>
      </c>
      <c r="J50" s="2" t="s">
        <v>12</v>
      </c>
      <c r="K50" s="2">
        <v>2384.6</v>
      </c>
    </row>
    <row r="51" spans="1:11" x14ac:dyDescent="0.25">
      <c r="A51" s="4">
        <v>148</v>
      </c>
      <c r="B51" s="4" t="s">
        <v>145</v>
      </c>
      <c r="C51" s="4" t="s">
        <v>146</v>
      </c>
      <c r="D51" s="3">
        <v>45729</v>
      </c>
      <c r="E51" s="2" t="s">
        <v>22</v>
      </c>
      <c r="F51" s="2" t="s">
        <v>23</v>
      </c>
      <c r="G51" s="2">
        <v>1</v>
      </c>
      <c r="H51" s="2">
        <v>660.98</v>
      </c>
      <c r="I51" s="2" t="s">
        <v>11</v>
      </c>
      <c r="J51" s="2" t="s">
        <v>40</v>
      </c>
      <c r="K51" s="2">
        <v>660.98</v>
      </c>
    </row>
    <row r="52" spans="1:11" x14ac:dyDescent="0.25">
      <c r="A52" s="4">
        <v>149</v>
      </c>
      <c r="B52" s="4" t="s">
        <v>147</v>
      </c>
      <c r="C52" s="4" t="s">
        <v>148</v>
      </c>
      <c r="D52" s="3">
        <v>45837</v>
      </c>
      <c r="E52" s="2" t="s">
        <v>53</v>
      </c>
      <c r="F52" s="2" t="s">
        <v>28</v>
      </c>
      <c r="G52" s="2">
        <v>5</v>
      </c>
      <c r="H52" s="2">
        <v>896.38</v>
      </c>
      <c r="I52" s="2" t="s">
        <v>37</v>
      </c>
      <c r="J52" s="2" t="s">
        <v>34</v>
      </c>
      <c r="K52" s="2">
        <v>4481.8999999999996</v>
      </c>
    </row>
    <row r="53" spans="1:11" x14ac:dyDescent="0.25">
      <c r="A53" s="4">
        <v>150</v>
      </c>
      <c r="B53" s="4" t="s">
        <v>149</v>
      </c>
      <c r="C53" s="4" t="s">
        <v>150</v>
      </c>
      <c r="D53" s="3">
        <v>45623</v>
      </c>
      <c r="E53" s="2" t="s">
        <v>78</v>
      </c>
      <c r="F53" s="2" t="s">
        <v>23</v>
      </c>
      <c r="G53" s="2">
        <v>1</v>
      </c>
      <c r="H53" s="2">
        <v>206.19</v>
      </c>
      <c r="I53" s="2" t="s">
        <v>45</v>
      </c>
      <c r="J53" s="2" t="s">
        <v>40</v>
      </c>
      <c r="K53" s="2">
        <v>206.19</v>
      </c>
    </row>
    <row r="54" spans="1:11" x14ac:dyDescent="0.25">
      <c r="A54" s="4">
        <v>151</v>
      </c>
      <c r="B54" s="4" t="s">
        <v>151</v>
      </c>
      <c r="C54" s="4" t="s">
        <v>152</v>
      </c>
      <c r="D54" s="3">
        <v>45839</v>
      </c>
      <c r="E54" s="2" t="s">
        <v>53</v>
      </c>
      <c r="F54" s="2" t="s">
        <v>28</v>
      </c>
      <c r="G54" s="2">
        <v>2</v>
      </c>
      <c r="H54" s="2">
        <v>457.16</v>
      </c>
      <c r="I54" s="2" t="s">
        <v>18</v>
      </c>
      <c r="J54" s="2" t="s">
        <v>19</v>
      </c>
      <c r="K54" s="2">
        <v>640.024</v>
      </c>
    </row>
    <row r="55" spans="1:11" x14ac:dyDescent="0.25">
      <c r="A55" s="4">
        <v>152</v>
      </c>
      <c r="B55" s="4" t="s">
        <v>153</v>
      </c>
      <c r="C55" s="4" t="s">
        <v>154</v>
      </c>
      <c r="D55" s="3">
        <v>45922</v>
      </c>
      <c r="E55" s="2" t="s">
        <v>98</v>
      </c>
      <c r="F55" s="2" t="s">
        <v>10</v>
      </c>
      <c r="G55" s="2">
        <v>3</v>
      </c>
      <c r="H55" s="2">
        <v>233.11</v>
      </c>
      <c r="I55" s="2" t="s">
        <v>18</v>
      </c>
      <c r="J55" s="2" t="s">
        <v>40</v>
      </c>
      <c r="K55" s="2">
        <v>699.33</v>
      </c>
    </row>
    <row r="56" spans="1:11" x14ac:dyDescent="0.25">
      <c r="A56" s="4">
        <v>153</v>
      </c>
      <c r="B56" s="4" t="s">
        <v>155</v>
      </c>
      <c r="C56" s="4" t="s">
        <v>156</v>
      </c>
      <c r="D56" s="3">
        <v>45854</v>
      </c>
      <c r="E56" s="2" t="s">
        <v>78</v>
      </c>
      <c r="F56" s="2" t="s">
        <v>23</v>
      </c>
      <c r="G56" s="2">
        <v>4</v>
      </c>
      <c r="H56" s="2">
        <v>278.89999999999998</v>
      </c>
      <c r="I56" s="2" t="s">
        <v>11</v>
      </c>
      <c r="J56" s="2" t="s">
        <v>19</v>
      </c>
      <c r="K56" s="2">
        <v>1115.5999999999999</v>
      </c>
    </row>
    <row r="57" spans="1:11" x14ac:dyDescent="0.25">
      <c r="A57" s="4">
        <v>154</v>
      </c>
      <c r="B57" s="4" t="s">
        <v>157</v>
      </c>
      <c r="C57" s="4" t="s">
        <v>158</v>
      </c>
      <c r="D57" s="3">
        <v>45709</v>
      </c>
      <c r="E57" s="2" t="s">
        <v>9</v>
      </c>
      <c r="F57" s="2" t="s">
        <v>10</v>
      </c>
      <c r="G57" s="2">
        <v>5</v>
      </c>
      <c r="H57" s="2">
        <v>789.64</v>
      </c>
      <c r="I57" s="2" t="s">
        <v>11</v>
      </c>
      <c r="J57" s="2" t="s">
        <v>34</v>
      </c>
      <c r="K57" s="2">
        <v>3948.2</v>
      </c>
    </row>
    <row r="58" spans="1:11" x14ac:dyDescent="0.25">
      <c r="A58" s="4">
        <v>155</v>
      </c>
      <c r="B58" s="4" t="s">
        <v>159</v>
      </c>
      <c r="C58" s="4" t="s">
        <v>160</v>
      </c>
      <c r="D58" s="3">
        <v>45778</v>
      </c>
      <c r="E58" s="2" t="s">
        <v>161</v>
      </c>
      <c r="F58" s="2" t="s">
        <v>57</v>
      </c>
      <c r="G58" s="2">
        <v>1</v>
      </c>
      <c r="H58" s="2">
        <v>40.950000000000003</v>
      </c>
      <c r="I58" s="2" t="s">
        <v>18</v>
      </c>
      <c r="J58" s="2" t="s">
        <v>40</v>
      </c>
      <c r="K58" s="2">
        <v>40.950000000000003</v>
      </c>
    </row>
    <row r="59" spans="1:11" x14ac:dyDescent="0.25">
      <c r="A59" s="4">
        <v>156</v>
      </c>
      <c r="B59" s="4" t="s">
        <v>162</v>
      </c>
      <c r="C59" s="4" t="s">
        <v>163</v>
      </c>
      <c r="D59" s="3">
        <v>45624</v>
      </c>
      <c r="E59" s="2" t="s">
        <v>164</v>
      </c>
      <c r="F59" s="2" t="s">
        <v>57</v>
      </c>
      <c r="G59" s="2">
        <v>2</v>
      </c>
      <c r="H59" s="2"/>
      <c r="I59" s="2" t="s">
        <v>37</v>
      </c>
      <c r="J59" s="2" t="s">
        <v>12</v>
      </c>
      <c r="K59" s="2"/>
    </row>
    <row r="60" spans="1:11" x14ac:dyDescent="0.25">
      <c r="A60" s="4">
        <v>157</v>
      </c>
      <c r="B60" s="4" t="s">
        <v>165</v>
      </c>
      <c r="C60" s="4" t="s">
        <v>166</v>
      </c>
      <c r="D60" s="3">
        <v>45967</v>
      </c>
      <c r="E60" s="2" t="s">
        <v>144</v>
      </c>
      <c r="F60" s="2" t="s">
        <v>57</v>
      </c>
      <c r="G60" s="2">
        <v>4</v>
      </c>
      <c r="H60" s="2">
        <v>275.10000000000002</v>
      </c>
      <c r="I60" s="2" t="s">
        <v>37</v>
      </c>
      <c r="J60" s="2" t="s">
        <v>19</v>
      </c>
      <c r="K60" s="2">
        <v>1100.4000000000001</v>
      </c>
    </row>
    <row r="61" spans="1:11" x14ac:dyDescent="0.25">
      <c r="A61" s="4">
        <v>158</v>
      </c>
      <c r="B61" s="4" t="s">
        <v>167</v>
      </c>
      <c r="C61" s="4" t="s">
        <v>168</v>
      </c>
      <c r="D61" s="3">
        <v>45752</v>
      </c>
      <c r="E61" s="2" t="s">
        <v>116</v>
      </c>
      <c r="F61" s="2" t="s">
        <v>16</v>
      </c>
      <c r="G61" s="2">
        <v>1</v>
      </c>
      <c r="H61" s="2">
        <v>933.58</v>
      </c>
      <c r="I61" s="2" t="s">
        <v>11</v>
      </c>
      <c r="J61" s="2" t="s">
        <v>12</v>
      </c>
      <c r="K61" s="2">
        <v>933.58</v>
      </c>
    </row>
    <row r="62" spans="1:11" x14ac:dyDescent="0.25">
      <c r="A62" s="4">
        <v>159</v>
      </c>
      <c r="B62" s="4" t="s">
        <v>169</v>
      </c>
      <c r="C62" s="4" t="s">
        <v>170</v>
      </c>
      <c r="D62" s="3">
        <v>45866</v>
      </c>
      <c r="E62" s="2" t="s">
        <v>68</v>
      </c>
      <c r="F62" s="2" t="s">
        <v>10</v>
      </c>
      <c r="G62" s="2">
        <v>3</v>
      </c>
      <c r="H62" s="2">
        <v>163.16</v>
      </c>
      <c r="I62" s="2" t="s">
        <v>18</v>
      </c>
      <c r="J62" s="2" t="s">
        <v>12</v>
      </c>
      <c r="K62" s="2">
        <v>489.48</v>
      </c>
    </row>
    <row r="63" spans="1:11" x14ac:dyDescent="0.25">
      <c r="A63" s="4">
        <v>160</v>
      </c>
      <c r="B63" s="4" t="s">
        <v>171</v>
      </c>
      <c r="C63" s="4" t="s">
        <v>172</v>
      </c>
      <c r="D63" s="3">
        <v>45660</v>
      </c>
      <c r="E63" s="2" t="s">
        <v>27</v>
      </c>
      <c r="F63" s="2" t="s">
        <v>28</v>
      </c>
      <c r="G63" s="2">
        <v>5</v>
      </c>
      <c r="H63" s="2">
        <v>242.52</v>
      </c>
      <c r="I63" s="2" t="s">
        <v>11</v>
      </c>
      <c r="J63" s="2" t="s">
        <v>40</v>
      </c>
      <c r="K63" s="2">
        <v>1212.5999999999999</v>
      </c>
    </row>
    <row r="64" spans="1:11" x14ac:dyDescent="0.25">
      <c r="A64" s="4">
        <v>161</v>
      </c>
      <c r="B64" s="4" t="s">
        <v>173</v>
      </c>
      <c r="C64" s="4" t="s">
        <v>174</v>
      </c>
      <c r="D64" s="3">
        <v>45641</v>
      </c>
      <c r="E64" s="2" t="s">
        <v>27</v>
      </c>
      <c r="F64" s="2" t="s">
        <v>28</v>
      </c>
      <c r="G64" s="2">
        <v>4</v>
      </c>
      <c r="H64" s="2">
        <v>209.32</v>
      </c>
      <c r="I64" s="2" t="s">
        <v>37</v>
      </c>
      <c r="J64" s="2" t="s">
        <v>12</v>
      </c>
      <c r="K64" s="2">
        <v>837.28</v>
      </c>
    </row>
    <row r="65" spans="1:11" x14ac:dyDescent="0.25">
      <c r="A65" s="4">
        <v>162</v>
      </c>
      <c r="B65" s="4" t="s">
        <v>175</v>
      </c>
      <c r="C65" s="4" t="s">
        <v>176</v>
      </c>
      <c r="D65" s="3">
        <v>45796</v>
      </c>
      <c r="E65" s="2" t="s">
        <v>9</v>
      </c>
      <c r="F65" s="2" t="s">
        <v>10</v>
      </c>
      <c r="G65" s="2">
        <v>2</v>
      </c>
      <c r="H65" s="2">
        <v>155.76</v>
      </c>
      <c r="I65" s="2" t="s">
        <v>45</v>
      </c>
      <c r="J65" s="2" t="s">
        <v>40</v>
      </c>
      <c r="K65" s="2">
        <v>311.52</v>
      </c>
    </row>
    <row r="66" spans="1:11" x14ac:dyDescent="0.25">
      <c r="A66" s="4">
        <v>163</v>
      </c>
      <c r="B66" s="4" t="s">
        <v>177</v>
      </c>
      <c r="C66" s="4" t="s">
        <v>178</v>
      </c>
      <c r="D66" s="3">
        <v>44931</v>
      </c>
      <c r="E66" s="2" t="s">
        <v>116</v>
      </c>
      <c r="F66" s="2" t="s">
        <v>16</v>
      </c>
      <c r="G66" s="2">
        <v>3</v>
      </c>
      <c r="H66" s="2">
        <v>235.26</v>
      </c>
      <c r="I66" s="2" t="s">
        <v>11</v>
      </c>
      <c r="J66" s="2" t="s">
        <v>12</v>
      </c>
      <c r="K66" s="2">
        <v>705.78</v>
      </c>
    </row>
    <row r="67" spans="1:11" x14ac:dyDescent="0.25">
      <c r="A67" s="4">
        <v>164</v>
      </c>
      <c r="B67" s="4" t="s">
        <v>179</v>
      </c>
      <c r="C67" s="4" t="s">
        <v>180</v>
      </c>
      <c r="D67" s="3">
        <v>45697</v>
      </c>
      <c r="E67" s="2" t="s">
        <v>22</v>
      </c>
      <c r="F67" s="2" t="s">
        <v>23</v>
      </c>
      <c r="G67" s="2"/>
      <c r="H67" s="2">
        <v>587.64</v>
      </c>
      <c r="I67" s="2" t="s">
        <v>45</v>
      </c>
      <c r="J67" s="2" t="s">
        <v>40</v>
      </c>
      <c r="K67" s="2"/>
    </row>
    <row r="68" spans="1:11" x14ac:dyDescent="0.25">
      <c r="A68" s="4">
        <v>165</v>
      </c>
      <c r="B68" s="4" t="s">
        <v>181</v>
      </c>
      <c r="C68" s="4" t="s">
        <v>182</v>
      </c>
      <c r="D68" s="3">
        <v>45604</v>
      </c>
      <c r="E68" s="2" t="s">
        <v>56</v>
      </c>
      <c r="F68" s="2" t="s">
        <v>57</v>
      </c>
      <c r="G68" s="2">
        <v>2</v>
      </c>
      <c r="H68" s="2">
        <v>443.13</v>
      </c>
      <c r="I68" s="2" t="s">
        <v>45</v>
      </c>
      <c r="J68" s="2" t="s">
        <v>24</v>
      </c>
      <c r="K68" s="2">
        <v>886.26</v>
      </c>
    </row>
    <row r="69" spans="1:11" x14ac:dyDescent="0.25">
      <c r="A69" s="4">
        <v>166</v>
      </c>
      <c r="B69" s="4" t="s">
        <v>183</v>
      </c>
      <c r="C69" s="4" t="s">
        <v>184</v>
      </c>
      <c r="D69" s="3">
        <v>45841</v>
      </c>
      <c r="E69" s="2" t="s">
        <v>113</v>
      </c>
      <c r="F69" s="2" t="s">
        <v>99</v>
      </c>
      <c r="G69" s="2">
        <v>2</v>
      </c>
      <c r="H69" s="2">
        <v>569.38</v>
      </c>
      <c r="I69" s="2" t="s">
        <v>11</v>
      </c>
      <c r="J69" s="2" t="s">
        <v>12</v>
      </c>
      <c r="K69" s="2">
        <v>1138.76</v>
      </c>
    </row>
    <row r="70" spans="1:11" x14ac:dyDescent="0.25">
      <c r="A70" s="4">
        <v>167</v>
      </c>
      <c r="B70" s="4" t="s">
        <v>185</v>
      </c>
      <c r="C70" s="4" t="s">
        <v>186</v>
      </c>
      <c r="D70" s="3">
        <v>45876</v>
      </c>
      <c r="E70" s="2" t="s">
        <v>48</v>
      </c>
      <c r="F70" s="2" t="s">
        <v>23</v>
      </c>
      <c r="G70" s="2"/>
      <c r="H70" s="2">
        <v>593.92999999999995</v>
      </c>
      <c r="I70" s="2" t="s">
        <v>11</v>
      </c>
      <c r="J70" s="2" t="s">
        <v>19</v>
      </c>
      <c r="K70" s="2"/>
    </row>
    <row r="71" spans="1:11" x14ac:dyDescent="0.25">
      <c r="A71" s="4">
        <v>168</v>
      </c>
      <c r="B71" s="4" t="s">
        <v>187</v>
      </c>
      <c r="C71" s="4" t="s">
        <v>188</v>
      </c>
      <c r="D71" s="3">
        <v>45965</v>
      </c>
      <c r="E71" s="2" t="s">
        <v>31</v>
      </c>
      <c r="F71" s="2" t="s">
        <v>28</v>
      </c>
      <c r="G71" s="2">
        <v>2</v>
      </c>
      <c r="H71" s="2">
        <v>141.49</v>
      </c>
      <c r="I71" s="2" t="s">
        <v>18</v>
      </c>
      <c r="J71" s="2" t="s">
        <v>34</v>
      </c>
      <c r="K71" s="2">
        <v>282.98</v>
      </c>
    </row>
    <row r="72" spans="1:11" x14ac:dyDescent="0.25">
      <c r="A72" s="4">
        <v>169</v>
      </c>
      <c r="B72" s="4" t="s">
        <v>189</v>
      </c>
      <c r="C72" s="4" t="s">
        <v>190</v>
      </c>
      <c r="D72" s="3">
        <v>45881</v>
      </c>
      <c r="E72" s="2" t="s">
        <v>48</v>
      </c>
      <c r="F72" s="2" t="s">
        <v>23</v>
      </c>
      <c r="G72" s="2">
        <v>1</v>
      </c>
      <c r="H72" s="2">
        <v>582.13</v>
      </c>
      <c r="I72" s="2" t="s">
        <v>45</v>
      </c>
      <c r="J72" s="2" t="s">
        <v>40</v>
      </c>
      <c r="K72" s="2">
        <v>582.13</v>
      </c>
    </row>
    <row r="73" spans="1:11" x14ac:dyDescent="0.25">
      <c r="A73" s="4">
        <v>170</v>
      </c>
      <c r="B73" s="4" t="s">
        <v>191</v>
      </c>
      <c r="C73" s="4" t="s">
        <v>192</v>
      </c>
      <c r="D73" s="3">
        <v>45933</v>
      </c>
      <c r="E73" s="2" t="s">
        <v>164</v>
      </c>
      <c r="F73" s="2" t="s">
        <v>57</v>
      </c>
      <c r="G73" s="2">
        <v>5</v>
      </c>
      <c r="H73" s="2">
        <v>741.63</v>
      </c>
      <c r="I73" s="2" t="s">
        <v>37</v>
      </c>
      <c r="J73" s="2" t="s">
        <v>19</v>
      </c>
      <c r="K73" s="2">
        <v>3708.15</v>
      </c>
    </row>
    <row r="74" spans="1:11" x14ac:dyDescent="0.25">
      <c r="A74" s="4">
        <v>171</v>
      </c>
      <c r="B74" s="4" t="s">
        <v>193</v>
      </c>
      <c r="C74" s="4" t="s">
        <v>194</v>
      </c>
      <c r="D74" s="3">
        <v>45632</v>
      </c>
      <c r="E74" s="2" t="s">
        <v>56</v>
      </c>
      <c r="F74" s="2" t="s">
        <v>57</v>
      </c>
      <c r="G74" s="2">
        <v>3</v>
      </c>
      <c r="H74" s="2">
        <v>688.68</v>
      </c>
      <c r="I74" s="2" t="s">
        <v>18</v>
      </c>
      <c r="J74" s="2" t="s">
        <v>19</v>
      </c>
      <c r="K74" s="2">
        <v>2066.04</v>
      </c>
    </row>
    <row r="75" spans="1:11" x14ac:dyDescent="0.25">
      <c r="A75" s="4">
        <v>172</v>
      </c>
      <c r="B75" s="4" t="s">
        <v>195</v>
      </c>
      <c r="C75" s="4" t="s">
        <v>196</v>
      </c>
      <c r="D75" s="3">
        <v>45614</v>
      </c>
      <c r="E75" s="2" t="s">
        <v>53</v>
      </c>
      <c r="F75" s="2" t="s">
        <v>28</v>
      </c>
      <c r="G75" s="2">
        <v>2</v>
      </c>
      <c r="H75" s="2">
        <v>942.76</v>
      </c>
      <c r="I75" s="2" t="s">
        <v>37</v>
      </c>
      <c r="J75" s="2" t="s">
        <v>40</v>
      </c>
      <c r="K75" s="2">
        <v>1885.52</v>
      </c>
    </row>
    <row r="76" spans="1:11" x14ac:dyDescent="0.25">
      <c r="A76" s="4">
        <v>173</v>
      </c>
      <c r="B76" s="4" t="s">
        <v>197</v>
      </c>
      <c r="C76" s="4" t="s">
        <v>198</v>
      </c>
      <c r="D76" s="3">
        <v>45941</v>
      </c>
      <c r="E76" s="2" t="s">
        <v>98</v>
      </c>
      <c r="F76" s="2" t="s">
        <v>10</v>
      </c>
      <c r="G76" s="2">
        <v>5</v>
      </c>
      <c r="H76" s="2">
        <v>351.89</v>
      </c>
      <c r="I76" s="2" t="s">
        <v>45</v>
      </c>
      <c r="J76" s="2" t="s">
        <v>12</v>
      </c>
      <c r="K76" s="2">
        <v>1759.45</v>
      </c>
    </row>
    <row r="77" spans="1:11" x14ac:dyDescent="0.25">
      <c r="A77" s="4">
        <v>174</v>
      </c>
      <c r="B77" s="4" t="s">
        <v>199</v>
      </c>
      <c r="C77" s="4" t="s">
        <v>200</v>
      </c>
      <c r="D77" s="3">
        <v>45920</v>
      </c>
      <c r="E77" s="2" t="s">
        <v>68</v>
      </c>
      <c r="F77" s="2" t="s">
        <v>79</v>
      </c>
      <c r="G77" s="2">
        <v>4</v>
      </c>
      <c r="H77" s="2">
        <v>187.48</v>
      </c>
      <c r="I77" s="2" t="s">
        <v>45</v>
      </c>
      <c r="J77" s="2" t="s">
        <v>40</v>
      </c>
      <c r="K77" s="2">
        <v>749.92</v>
      </c>
    </row>
    <row r="78" spans="1:11" x14ac:dyDescent="0.25">
      <c r="A78" s="4">
        <v>175</v>
      </c>
      <c r="B78" s="4" t="s">
        <v>201</v>
      </c>
      <c r="C78" s="4" t="s">
        <v>202</v>
      </c>
      <c r="D78" s="3">
        <v>45712</v>
      </c>
      <c r="E78" s="2" t="s">
        <v>119</v>
      </c>
      <c r="F78" s="2" t="s">
        <v>16</v>
      </c>
      <c r="G78" s="2">
        <v>1</v>
      </c>
      <c r="H78" s="2">
        <v>111.36</v>
      </c>
      <c r="I78" s="2" t="s">
        <v>45</v>
      </c>
      <c r="J78" s="2" t="s">
        <v>19</v>
      </c>
      <c r="K78" s="2">
        <v>111.36</v>
      </c>
    </row>
    <row r="79" spans="1:11" x14ac:dyDescent="0.25">
      <c r="A79" s="4">
        <v>175</v>
      </c>
      <c r="B79" s="4" t="s">
        <v>201</v>
      </c>
      <c r="C79" s="4" t="s">
        <v>202</v>
      </c>
      <c r="D79" s="3">
        <v>45712</v>
      </c>
      <c r="E79" s="2" t="s">
        <v>119</v>
      </c>
      <c r="F79" s="2" t="s">
        <v>16</v>
      </c>
      <c r="G79" s="2">
        <v>1</v>
      </c>
      <c r="H79" s="2">
        <v>111.36</v>
      </c>
      <c r="I79" s="2" t="s">
        <v>45</v>
      </c>
      <c r="J79" s="2" t="s">
        <v>19</v>
      </c>
      <c r="K79" s="2">
        <v>77.951999999999998</v>
      </c>
    </row>
    <row r="80" spans="1:11" x14ac:dyDescent="0.25">
      <c r="A80" s="4">
        <v>176</v>
      </c>
      <c r="B80" s="4" t="s">
        <v>203</v>
      </c>
      <c r="C80" s="4" t="s">
        <v>204</v>
      </c>
      <c r="D80" s="3">
        <v>45860</v>
      </c>
      <c r="E80" s="2" t="s">
        <v>53</v>
      </c>
      <c r="F80" s="2" t="s">
        <v>28</v>
      </c>
      <c r="G80" s="2">
        <v>5</v>
      </c>
      <c r="H80" s="2">
        <v>530.52</v>
      </c>
      <c r="I80" s="2" t="s">
        <v>11</v>
      </c>
      <c r="J80" s="2" t="s">
        <v>12</v>
      </c>
      <c r="K80" s="2">
        <v>2652.6</v>
      </c>
    </row>
    <row r="81" spans="1:11" x14ac:dyDescent="0.25">
      <c r="A81" s="4">
        <v>177</v>
      </c>
      <c r="B81" s="4" t="s">
        <v>205</v>
      </c>
      <c r="C81" s="4" t="s">
        <v>206</v>
      </c>
      <c r="D81" s="3">
        <v>45866</v>
      </c>
      <c r="E81" s="2" t="s">
        <v>139</v>
      </c>
      <c r="F81" s="2" t="s">
        <v>16</v>
      </c>
      <c r="G81" s="2">
        <v>1</v>
      </c>
      <c r="H81" s="2">
        <v>69.48</v>
      </c>
      <c r="I81" s="2" t="s">
        <v>37</v>
      </c>
      <c r="J81" s="2" t="s">
        <v>40</v>
      </c>
      <c r="K81" s="2">
        <v>69.48</v>
      </c>
    </row>
    <row r="82" spans="1:11" x14ac:dyDescent="0.25">
      <c r="A82" s="4">
        <v>178</v>
      </c>
      <c r="B82" s="4" t="s">
        <v>207</v>
      </c>
      <c r="C82" s="4" t="s">
        <v>208</v>
      </c>
      <c r="D82" s="3">
        <v>45918</v>
      </c>
      <c r="E82" s="2" t="s">
        <v>22</v>
      </c>
      <c r="F82" s="2" t="s">
        <v>23</v>
      </c>
      <c r="G82" s="2">
        <v>3</v>
      </c>
      <c r="H82" s="2">
        <v>472.14</v>
      </c>
      <c r="I82" s="2" t="s">
        <v>18</v>
      </c>
      <c r="J82" s="2" t="s">
        <v>40</v>
      </c>
      <c r="K82" s="2">
        <v>1416.42</v>
      </c>
    </row>
    <row r="83" spans="1:11" x14ac:dyDescent="0.25">
      <c r="A83" s="4">
        <v>179</v>
      </c>
      <c r="B83" s="4" t="s">
        <v>209</v>
      </c>
      <c r="C83" s="4" t="s">
        <v>210</v>
      </c>
      <c r="D83" s="3">
        <v>45903</v>
      </c>
      <c r="E83" s="2" t="s">
        <v>78</v>
      </c>
      <c r="F83" s="2" t="s">
        <v>23</v>
      </c>
      <c r="G83" s="2">
        <v>3</v>
      </c>
      <c r="H83" s="2">
        <v>868.67</v>
      </c>
      <c r="I83" s="2" t="s">
        <v>18</v>
      </c>
      <c r="J83" s="2" t="s">
        <v>24</v>
      </c>
      <c r="K83" s="2">
        <v>2606.0100000000002</v>
      </c>
    </row>
    <row r="84" spans="1:11" x14ac:dyDescent="0.25">
      <c r="A84" s="4">
        <v>180</v>
      </c>
      <c r="B84" s="4" t="s">
        <v>211</v>
      </c>
      <c r="C84" s="4" t="s">
        <v>212</v>
      </c>
      <c r="D84" s="3">
        <v>45742</v>
      </c>
      <c r="E84" s="2" t="s">
        <v>139</v>
      </c>
      <c r="F84" s="2"/>
      <c r="G84" s="2">
        <v>2</v>
      </c>
      <c r="H84" s="2">
        <v>418.38</v>
      </c>
      <c r="I84" s="2" t="s">
        <v>45</v>
      </c>
      <c r="J84" s="2" t="s">
        <v>19</v>
      </c>
      <c r="K84" s="2">
        <v>836.76</v>
      </c>
    </row>
    <row r="85" spans="1:11" x14ac:dyDescent="0.25">
      <c r="A85" s="4">
        <v>181</v>
      </c>
      <c r="B85" s="4" t="s">
        <v>213</v>
      </c>
      <c r="C85" s="4" t="s">
        <v>214</v>
      </c>
      <c r="D85" s="3">
        <v>45655</v>
      </c>
      <c r="E85" s="2" t="s">
        <v>15</v>
      </c>
      <c r="F85" s="2" t="s">
        <v>110</v>
      </c>
      <c r="G85" s="2">
        <v>1</v>
      </c>
      <c r="H85" s="2">
        <v>266.48</v>
      </c>
      <c r="I85" s="2" t="s">
        <v>11</v>
      </c>
      <c r="J85" s="2" t="s">
        <v>34</v>
      </c>
      <c r="K85" s="2">
        <v>266.48</v>
      </c>
    </row>
    <row r="86" spans="1:11" x14ac:dyDescent="0.25">
      <c r="A86" s="4">
        <v>182</v>
      </c>
      <c r="B86" s="4" t="s">
        <v>215</v>
      </c>
      <c r="C86" s="4" t="s">
        <v>216</v>
      </c>
      <c r="D86" s="3">
        <v>45872</v>
      </c>
      <c r="E86" s="2" t="s">
        <v>56</v>
      </c>
      <c r="F86" s="2"/>
      <c r="G86" s="2">
        <v>4</v>
      </c>
      <c r="H86" s="2">
        <v>538.35</v>
      </c>
      <c r="I86" s="2" t="s">
        <v>18</v>
      </c>
      <c r="J86" s="2" t="s">
        <v>19</v>
      </c>
      <c r="K86" s="2">
        <v>2153.4</v>
      </c>
    </row>
    <row r="87" spans="1:11" x14ac:dyDescent="0.25">
      <c r="A87" s="4">
        <v>183</v>
      </c>
      <c r="B87" s="4" t="s">
        <v>217</v>
      </c>
      <c r="C87" s="4" t="s">
        <v>218</v>
      </c>
      <c r="D87" s="3">
        <v>45726</v>
      </c>
      <c r="E87" s="2" t="s">
        <v>56</v>
      </c>
      <c r="F87" s="2" t="s">
        <v>57</v>
      </c>
      <c r="G87" s="2">
        <v>5</v>
      </c>
      <c r="H87" s="2"/>
      <c r="I87" s="2" t="s">
        <v>11</v>
      </c>
      <c r="J87" s="2" t="s">
        <v>40</v>
      </c>
      <c r="K87" s="2"/>
    </row>
    <row r="88" spans="1:11" x14ac:dyDescent="0.25">
      <c r="A88" s="4">
        <v>184</v>
      </c>
      <c r="B88" s="4" t="s">
        <v>219</v>
      </c>
      <c r="C88" s="4" t="s">
        <v>220</v>
      </c>
      <c r="D88" s="3">
        <v>45703</v>
      </c>
      <c r="E88" s="2" t="s">
        <v>164</v>
      </c>
      <c r="F88" s="2"/>
      <c r="G88" s="2">
        <v>4</v>
      </c>
      <c r="H88" s="2">
        <v>101.19</v>
      </c>
      <c r="I88" s="2" t="s">
        <v>37</v>
      </c>
      <c r="J88" s="2" t="s">
        <v>19</v>
      </c>
      <c r="K88" s="2">
        <v>404.76</v>
      </c>
    </row>
    <row r="89" spans="1:11" x14ac:dyDescent="0.25">
      <c r="A89" s="4">
        <v>185</v>
      </c>
      <c r="B89" s="4" t="s">
        <v>221</v>
      </c>
      <c r="C89" s="4" t="s">
        <v>222</v>
      </c>
      <c r="D89" s="3">
        <v>45883</v>
      </c>
      <c r="E89" s="2" t="s">
        <v>136</v>
      </c>
      <c r="F89" s="2" t="s">
        <v>23</v>
      </c>
      <c r="G89" s="2">
        <v>2</v>
      </c>
      <c r="H89" s="2">
        <v>730.92</v>
      </c>
      <c r="I89" s="2" t="s">
        <v>11</v>
      </c>
      <c r="J89" s="2" t="s">
        <v>34</v>
      </c>
      <c r="K89" s="2">
        <v>1023.288</v>
      </c>
    </row>
    <row r="90" spans="1:11" x14ac:dyDescent="0.25">
      <c r="A90" s="4">
        <v>186</v>
      </c>
      <c r="B90" s="4" t="s">
        <v>223</v>
      </c>
      <c r="C90" s="4" t="s">
        <v>224</v>
      </c>
      <c r="D90" s="3">
        <v>45936</v>
      </c>
      <c r="E90" s="2" t="s">
        <v>139</v>
      </c>
      <c r="F90" s="2" t="s">
        <v>16</v>
      </c>
      <c r="G90" s="2">
        <v>1</v>
      </c>
      <c r="H90" s="2">
        <v>365.34</v>
      </c>
      <c r="I90" s="2" t="s">
        <v>37</v>
      </c>
      <c r="J90" s="2" t="s">
        <v>24</v>
      </c>
      <c r="K90" s="2">
        <v>365.34</v>
      </c>
    </row>
    <row r="91" spans="1:11" x14ac:dyDescent="0.25">
      <c r="A91" s="4">
        <v>187</v>
      </c>
      <c r="B91" s="4" t="s">
        <v>225</v>
      </c>
      <c r="C91" s="4" t="s">
        <v>226</v>
      </c>
      <c r="D91" s="3">
        <v>45615</v>
      </c>
      <c r="E91" s="2" t="s">
        <v>15</v>
      </c>
      <c r="F91" s="2" t="s">
        <v>16</v>
      </c>
      <c r="G91" s="2">
        <v>3</v>
      </c>
      <c r="H91" s="2">
        <v>882.96</v>
      </c>
      <c r="I91" s="2" t="s">
        <v>37</v>
      </c>
      <c r="J91" s="2" t="s">
        <v>40</v>
      </c>
      <c r="K91" s="2">
        <v>2648.88</v>
      </c>
    </row>
    <row r="92" spans="1:11" x14ac:dyDescent="0.25">
      <c r="A92" s="4">
        <v>188</v>
      </c>
      <c r="B92" s="4" t="s">
        <v>227</v>
      </c>
      <c r="C92" s="4" t="s">
        <v>228</v>
      </c>
      <c r="D92" s="3">
        <v>45615</v>
      </c>
      <c r="E92" s="2" t="s">
        <v>68</v>
      </c>
      <c r="F92" s="2" t="s">
        <v>10</v>
      </c>
      <c r="G92" s="2">
        <v>5</v>
      </c>
      <c r="H92" s="2">
        <v>504.05</v>
      </c>
      <c r="I92" s="2" t="s">
        <v>11</v>
      </c>
      <c r="J92" s="2" t="s">
        <v>12</v>
      </c>
      <c r="K92" s="2">
        <v>2520.25</v>
      </c>
    </row>
    <row r="93" spans="1:11" x14ac:dyDescent="0.25">
      <c r="A93" s="4">
        <v>189</v>
      </c>
      <c r="B93" s="4" t="s">
        <v>229</v>
      </c>
      <c r="C93" s="4" t="s">
        <v>230</v>
      </c>
      <c r="D93" s="3">
        <v>45883</v>
      </c>
      <c r="E93" s="2" t="s">
        <v>98</v>
      </c>
      <c r="F93" s="2" t="s">
        <v>10</v>
      </c>
      <c r="G93" s="2">
        <v>1</v>
      </c>
      <c r="H93" s="2">
        <v>814.68</v>
      </c>
      <c r="I93" s="2" t="s">
        <v>11</v>
      </c>
      <c r="J93" s="2" t="s">
        <v>40</v>
      </c>
      <c r="K93" s="2">
        <v>814.68</v>
      </c>
    </row>
    <row r="94" spans="1:11" x14ac:dyDescent="0.25">
      <c r="A94" s="4">
        <v>190</v>
      </c>
      <c r="B94" s="4" t="s">
        <v>231</v>
      </c>
      <c r="C94" s="4" t="s">
        <v>232</v>
      </c>
      <c r="D94" s="3">
        <v>45837</v>
      </c>
      <c r="E94" s="2" t="s">
        <v>87</v>
      </c>
      <c r="F94" s="2" t="s">
        <v>10</v>
      </c>
      <c r="G94" s="2">
        <v>1</v>
      </c>
      <c r="H94" s="2">
        <v>920.37</v>
      </c>
      <c r="I94" s="2" t="s">
        <v>37</v>
      </c>
      <c r="J94" s="2" t="s">
        <v>19</v>
      </c>
      <c r="K94" s="2">
        <v>920.37</v>
      </c>
    </row>
    <row r="95" spans="1:11" x14ac:dyDescent="0.25">
      <c r="A95" s="4">
        <v>191</v>
      </c>
      <c r="B95" s="4" t="s">
        <v>233</v>
      </c>
      <c r="C95" s="4" t="s">
        <v>234</v>
      </c>
      <c r="D95" s="3">
        <v>45856</v>
      </c>
      <c r="E95" s="2" t="s">
        <v>60</v>
      </c>
      <c r="F95" s="2" t="s">
        <v>28</v>
      </c>
      <c r="G95" s="2">
        <v>2</v>
      </c>
      <c r="H95" s="2">
        <v>881.02</v>
      </c>
      <c r="I95" s="2" t="s">
        <v>11</v>
      </c>
      <c r="J95" s="2" t="s">
        <v>40</v>
      </c>
      <c r="K95" s="2">
        <v>1762.04</v>
      </c>
    </row>
    <row r="96" spans="1:11" x14ac:dyDescent="0.25">
      <c r="A96" s="4">
        <v>192</v>
      </c>
      <c r="B96" s="4" t="s">
        <v>235</v>
      </c>
      <c r="C96" s="4" t="s">
        <v>236</v>
      </c>
      <c r="D96" s="3" t="s">
        <v>237</v>
      </c>
      <c r="E96" s="2" t="s">
        <v>144</v>
      </c>
      <c r="F96" s="2" t="s">
        <v>57</v>
      </c>
      <c r="G96" s="2" t="s">
        <v>238</v>
      </c>
      <c r="H96" s="2">
        <v>203.63</v>
      </c>
      <c r="I96" s="2" t="s">
        <v>45</v>
      </c>
      <c r="J96" s="2" t="s">
        <v>40</v>
      </c>
      <c r="K96" s="2"/>
    </row>
    <row r="97" spans="1:11" x14ac:dyDescent="0.25">
      <c r="A97" s="4">
        <v>193</v>
      </c>
      <c r="B97" s="4" t="s">
        <v>239</v>
      </c>
      <c r="C97" s="4" t="s">
        <v>240</v>
      </c>
      <c r="D97" s="3">
        <v>45814</v>
      </c>
      <c r="E97" s="2" t="s">
        <v>48</v>
      </c>
      <c r="F97" s="2"/>
      <c r="G97" s="2"/>
      <c r="H97" s="2">
        <v>522.02</v>
      </c>
      <c r="I97" s="2" t="s">
        <v>18</v>
      </c>
      <c r="J97" s="2" t="s">
        <v>12</v>
      </c>
      <c r="K97" s="2"/>
    </row>
    <row r="98" spans="1:11" x14ac:dyDescent="0.25">
      <c r="A98" s="4">
        <v>194</v>
      </c>
      <c r="B98" s="4" t="s">
        <v>241</v>
      </c>
      <c r="C98" s="4" t="s">
        <v>242</v>
      </c>
      <c r="D98" s="3">
        <v>45698</v>
      </c>
      <c r="E98" s="2" t="s">
        <v>98</v>
      </c>
      <c r="F98" s="2" t="s">
        <v>10</v>
      </c>
      <c r="G98" s="2">
        <v>5</v>
      </c>
      <c r="H98" s="2">
        <v>944.54</v>
      </c>
      <c r="I98" s="2" t="s">
        <v>11</v>
      </c>
      <c r="J98" s="2" t="s">
        <v>40</v>
      </c>
      <c r="K98" s="2">
        <v>4722.7</v>
      </c>
    </row>
    <row r="99" spans="1:11" x14ac:dyDescent="0.25">
      <c r="A99" s="4">
        <v>195</v>
      </c>
      <c r="B99" s="4" t="s">
        <v>243</v>
      </c>
      <c r="C99" s="4" t="s">
        <v>244</v>
      </c>
      <c r="D99" s="3">
        <v>45827</v>
      </c>
      <c r="E99" s="2" t="s">
        <v>31</v>
      </c>
      <c r="F99" s="2" t="s">
        <v>28</v>
      </c>
      <c r="G99" s="2">
        <v>5</v>
      </c>
      <c r="H99" s="2">
        <v>817.46</v>
      </c>
      <c r="I99" s="2" t="s">
        <v>11</v>
      </c>
      <c r="J99" s="2" t="s">
        <v>40</v>
      </c>
      <c r="K99" s="2">
        <v>4087.3</v>
      </c>
    </row>
    <row r="100" spans="1:11" x14ac:dyDescent="0.25">
      <c r="A100" s="4">
        <v>196</v>
      </c>
      <c r="B100" s="4" t="s">
        <v>245</v>
      </c>
      <c r="C100" s="4" t="s">
        <v>246</v>
      </c>
      <c r="D100" s="3">
        <v>45649</v>
      </c>
      <c r="E100" s="2" t="s">
        <v>87</v>
      </c>
      <c r="F100" s="2" t="s">
        <v>10</v>
      </c>
      <c r="G100" s="2"/>
      <c r="H100" s="2" t="s">
        <v>17</v>
      </c>
      <c r="I100" s="2" t="s">
        <v>18</v>
      </c>
      <c r="J100" s="2" t="s">
        <v>24</v>
      </c>
      <c r="K100" s="2"/>
    </row>
    <row r="101" spans="1:11" x14ac:dyDescent="0.25">
      <c r="A101" s="4">
        <v>197</v>
      </c>
      <c r="B101" s="4" t="s">
        <v>247</v>
      </c>
      <c r="C101" s="4" t="s">
        <v>248</v>
      </c>
      <c r="D101" s="3">
        <v>45831</v>
      </c>
      <c r="E101" s="2" t="s">
        <v>9</v>
      </c>
      <c r="F101" s="2" t="s">
        <v>10</v>
      </c>
      <c r="G101" s="2">
        <v>1</v>
      </c>
      <c r="H101" s="2">
        <v>160.16</v>
      </c>
      <c r="I101" s="2" t="s">
        <v>18</v>
      </c>
      <c r="J101" s="2" t="s">
        <v>34</v>
      </c>
      <c r="K101" s="2">
        <v>160.16</v>
      </c>
    </row>
    <row r="102" spans="1:11" x14ac:dyDescent="0.25">
      <c r="A102" s="4">
        <v>198</v>
      </c>
      <c r="B102" s="4" t="s">
        <v>249</v>
      </c>
      <c r="C102" s="4" t="s">
        <v>250</v>
      </c>
      <c r="D102" s="3">
        <v>45865</v>
      </c>
      <c r="E102" s="2" t="s">
        <v>87</v>
      </c>
      <c r="F102" s="2"/>
      <c r="G102" s="2">
        <v>2</v>
      </c>
      <c r="H102" s="2">
        <v>497.01</v>
      </c>
      <c r="I102" s="2" t="s">
        <v>11</v>
      </c>
      <c r="J102" s="2" t="s">
        <v>12</v>
      </c>
      <c r="K102" s="2">
        <v>994.02</v>
      </c>
    </row>
    <row r="103" spans="1:11" x14ac:dyDescent="0.25">
      <c r="A103" s="4">
        <v>199</v>
      </c>
      <c r="B103" s="4" t="s">
        <v>251</v>
      </c>
      <c r="C103" s="4" t="s">
        <v>252</v>
      </c>
      <c r="D103" s="3">
        <v>45679</v>
      </c>
      <c r="E103" s="2" t="s">
        <v>9</v>
      </c>
      <c r="F103" s="2" t="s">
        <v>10</v>
      </c>
      <c r="G103" s="2">
        <v>5</v>
      </c>
      <c r="H103" s="2">
        <v>372.28</v>
      </c>
      <c r="I103" s="2" t="s">
        <v>45</v>
      </c>
      <c r="J103" s="2" t="s">
        <v>12</v>
      </c>
      <c r="K103" s="2">
        <v>1861.4</v>
      </c>
    </row>
  </sheetData>
  <phoneticPr fontId="18" type="noConversion"/>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181283-260C-4346-AE5B-7222E1DB9BC1}">
  <dimension ref="A1:N98"/>
  <sheetViews>
    <sheetView workbookViewId="0">
      <selection activeCell="D12" sqref="D12"/>
    </sheetView>
  </sheetViews>
  <sheetFormatPr defaultRowHeight="15" x14ac:dyDescent="0.25"/>
  <cols>
    <col min="1" max="1" width="8.7109375" style="5" customWidth="1"/>
    <col min="2" max="2" width="20.42578125" style="5" bestFit="1" customWidth="1"/>
    <col min="3" max="3" width="13" style="5" bestFit="1" customWidth="1"/>
    <col min="4" max="4" width="15.28515625" style="1" bestFit="1" customWidth="1"/>
    <col min="5" max="5" width="12.42578125" style="5" bestFit="1" customWidth="1"/>
    <col min="6" max="6" width="9.5703125" style="5" bestFit="1" customWidth="1"/>
    <col min="7" max="7" width="11.5703125" style="5" bestFit="1" customWidth="1"/>
    <col min="8" max="8" width="13.28515625" style="5" bestFit="1" customWidth="1"/>
    <col min="9" max="9" width="11.140625" style="5" bestFit="1" customWidth="1"/>
    <col min="10" max="10" width="13.28515625" style="9" bestFit="1" customWidth="1"/>
    <col min="11" max="11" width="11.85546875" style="7" customWidth="1"/>
    <col min="12" max="12" width="26" style="5" customWidth="1"/>
    <col min="13" max="13" width="14.140625" style="5" customWidth="1"/>
    <col min="14" max="14" width="11.140625" style="6" bestFit="1" customWidth="1"/>
  </cols>
  <sheetData>
    <row r="1" spans="1:14" s="2" customFormat="1" x14ac:dyDescent="0.25">
      <c r="A1" s="4" t="s">
        <v>0</v>
      </c>
      <c r="B1" s="4" t="s">
        <v>255</v>
      </c>
      <c r="C1" s="4" t="s">
        <v>254</v>
      </c>
      <c r="D1" s="3" t="s">
        <v>253</v>
      </c>
      <c r="E1" s="4" t="s">
        <v>257</v>
      </c>
      <c r="F1" s="4" t="s">
        <v>258</v>
      </c>
      <c r="G1" s="4" t="s">
        <v>259</v>
      </c>
      <c r="H1" s="4" t="s">
        <v>1</v>
      </c>
      <c r="I1" s="4" t="s">
        <v>2</v>
      </c>
      <c r="J1" s="8" t="s">
        <v>3</v>
      </c>
      <c r="K1" s="6" t="s">
        <v>4</v>
      </c>
      <c r="L1" s="4" t="s">
        <v>256</v>
      </c>
      <c r="M1" s="4" t="s">
        <v>5</v>
      </c>
      <c r="N1" s="6" t="s">
        <v>6</v>
      </c>
    </row>
    <row r="2" spans="1:14" x14ac:dyDescent="0.25">
      <c r="A2" s="4">
        <v>100</v>
      </c>
      <c r="B2" s="4" t="s">
        <v>7</v>
      </c>
      <c r="C2" s="4" t="s">
        <v>8</v>
      </c>
      <c r="D2" s="3">
        <v>45618</v>
      </c>
      <c r="E2" s="4">
        <v>4</v>
      </c>
      <c r="F2" s="4">
        <v>2024</v>
      </c>
      <c r="G2" s="4">
        <v>11</v>
      </c>
      <c r="H2" s="4" t="s">
        <v>9</v>
      </c>
      <c r="I2" s="4" t="s">
        <v>10</v>
      </c>
      <c r="J2" s="8">
        <v>3</v>
      </c>
      <c r="K2" s="6">
        <v>38</v>
      </c>
      <c r="L2" s="4" t="s">
        <v>260</v>
      </c>
      <c r="M2" s="4" t="s">
        <v>12</v>
      </c>
      <c r="N2" s="6">
        <v>114</v>
      </c>
    </row>
    <row r="3" spans="1:14" x14ac:dyDescent="0.25">
      <c r="A3" s="4">
        <v>102</v>
      </c>
      <c r="B3" s="4" t="s">
        <v>20</v>
      </c>
      <c r="C3" s="4" t="s">
        <v>21</v>
      </c>
      <c r="D3" s="3">
        <v>45649</v>
      </c>
      <c r="E3" s="4">
        <v>4</v>
      </c>
      <c r="F3" s="4">
        <v>2024</v>
      </c>
      <c r="G3" s="4">
        <v>12</v>
      </c>
      <c r="H3" s="4" t="s">
        <v>22</v>
      </c>
      <c r="I3" s="4" t="s">
        <v>23</v>
      </c>
      <c r="J3" s="8">
        <v>1</v>
      </c>
      <c r="K3" s="6">
        <v>389</v>
      </c>
      <c r="L3" s="4" t="s">
        <v>261</v>
      </c>
      <c r="M3" s="4" t="s">
        <v>24</v>
      </c>
      <c r="N3" s="6">
        <v>389</v>
      </c>
    </row>
    <row r="4" spans="1:14" x14ac:dyDescent="0.25">
      <c r="A4" s="4">
        <v>103</v>
      </c>
      <c r="B4" s="4" t="s">
        <v>25</v>
      </c>
      <c r="C4" s="4" t="s">
        <v>26</v>
      </c>
      <c r="D4" s="3">
        <v>45735</v>
      </c>
      <c r="E4" s="4">
        <v>1</v>
      </c>
      <c r="F4" s="4">
        <v>2025</v>
      </c>
      <c r="G4" s="4">
        <v>3</v>
      </c>
      <c r="H4" s="4" t="s">
        <v>27</v>
      </c>
      <c r="I4" s="4" t="s">
        <v>28</v>
      </c>
      <c r="J4" s="8">
        <v>5</v>
      </c>
      <c r="K4" s="6">
        <v>234</v>
      </c>
      <c r="L4" s="4" t="s">
        <v>261</v>
      </c>
      <c r="M4" s="4" t="s">
        <v>19</v>
      </c>
      <c r="N4" s="6">
        <v>1170</v>
      </c>
    </row>
    <row r="5" spans="1:14" x14ac:dyDescent="0.25">
      <c r="A5" s="4">
        <v>104</v>
      </c>
      <c r="B5" s="4" t="s">
        <v>29</v>
      </c>
      <c r="C5" s="4" t="s">
        <v>30</v>
      </c>
      <c r="D5" s="3">
        <v>45950</v>
      </c>
      <c r="E5" s="4">
        <v>4</v>
      </c>
      <c r="F5" s="4">
        <v>2025</v>
      </c>
      <c r="G5" s="4">
        <v>10</v>
      </c>
      <c r="H5" s="4" t="s">
        <v>31</v>
      </c>
      <c r="I5" s="4" t="s">
        <v>28</v>
      </c>
      <c r="J5" s="8">
        <v>1</v>
      </c>
      <c r="K5" s="6">
        <v>553</v>
      </c>
      <c r="L5" s="4" t="s">
        <v>260</v>
      </c>
      <c r="M5" s="4" t="s">
        <v>19</v>
      </c>
      <c r="N5" s="6">
        <v>553</v>
      </c>
    </row>
    <row r="6" spans="1:14" x14ac:dyDescent="0.25">
      <c r="A6" s="4">
        <v>105</v>
      </c>
      <c r="B6" s="4" t="s">
        <v>32</v>
      </c>
      <c r="C6" s="4" t="s">
        <v>33</v>
      </c>
      <c r="D6" s="3">
        <v>45616</v>
      </c>
      <c r="E6" s="4">
        <v>4</v>
      </c>
      <c r="F6" s="4">
        <v>2024</v>
      </c>
      <c r="G6" s="4">
        <v>11</v>
      </c>
      <c r="H6" s="4" t="s">
        <v>22</v>
      </c>
      <c r="I6" s="4" t="s">
        <v>23</v>
      </c>
      <c r="J6" s="8">
        <v>3</v>
      </c>
      <c r="K6" s="6">
        <v>122</v>
      </c>
      <c r="L6" s="4" t="s">
        <v>260</v>
      </c>
      <c r="M6" s="4" t="s">
        <v>34</v>
      </c>
      <c r="N6" s="6">
        <v>366</v>
      </c>
    </row>
    <row r="7" spans="1:14" x14ac:dyDescent="0.25">
      <c r="A7" s="4">
        <v>106</v>
      </c>
      <c r="B7" s="4" t="s">
        <v>35</v>
      </c>
      <c r="C7" s="4" t="s">
        <v>36</v>
      </c>
      <c r="D7" s="3">
        <v>45690</v>
      </c>
      <c r="E7" s="4">
        <v>1</v>
      </c>
      <c r="F7" s="4">
        <v>2025</v>
      </c>
      <c r="G7" s="4">
        <v>2</v>
      </c>
      <c r="H7" s="4" t="s">
        <v>9</v>
      </c>
      <c r="I7" s="4" t="s">
        <v>10</v>
      </c>
      <c r="J7" s="8">
        <v>3</v>
      </c>
      <c r="K7" s="6">
        <v>979</v>
      </c>
      <c r="L7" s="4" t="s">
        <v>37</v>
      </c>
      <c r="M7" s="4" t="s">
        <v>19</v>
      </c>
      <c r="N7" s="6">
        <v>366</v>
      </c>
    </row>
    <row r="8" spans="1:14" x14ac:dyDescent="0.25">
      <c r="A8" s="4">
        <v>107</v>
      </c>
      <c r="B8" s="4" t="s">
        <v>38</v>
      </c>
      <c r="C8" s="4" t="s">
        <v>39</v>
      </c>
      <c r="D8" s="3">
        <v>45660</v>
      </c>
      <c r="E8" s="4">
        <v>1</v>
      </c>
      <c r="F8" s="4">
        <v>2025</v>
      </c>
      <c r="G8" s="4">
        <v>1</v>
      </c>
      <c r="H8" s="4" t="s">
        <v>31</v>
      </c>
      <c r="I8" s="4" t="s">
        <v>28</v>
      </c>
      <c r="J8" s="8">
        <v>5</v>
      </c>
      <c r="K8" s="6">
        <v>588</v>
      </c>
      <c r="L8" s="4" t="s">
        <v>261</v>
      </c>
      <c r="M8" s="4" t="s">
        <v>40</v>
      </c>
      <c r="N8" s="6">
        <v>2938</v>
      </c>
    </row>
    <row r="9" spans="1:14" x14ac:dyDescent="0.25">
      <c r="A9" s="4">
        <v>108</v>
      </c>
      <c r="B9" s="4" t="s">
        <v>41</v>
      </c>
      <c r="C9" s="4" t="s">
        <v>42</v>
      </c>
      <c r="D9" s="3">
        <v>45953</v>
      </c>
      <c r="E9" s="4">
        <v>4</v>
      </c>
      <c r="F9" s="4">
        <v>2025</v>
      </c>
      <c r="G9" s="4">
        <v>10</v>
      </c>
      <c r="H9" s="4" t="s">
        <v>27</v>
      </c>
      <c r="I9" s="4" t="s">
        <v>28</v>
      </c>
      <c r="J9" s="8">
        <v>1</v>
      </c>
      <c r="K9" s="6">
        <v>600</v>
      </c>
      <c r="L9" s="4" t="s">
        <v>260</v>
      </c>
      <c r="M9" s="4" t="s">
        <v>19</v>
      </c>
      <c r="N9" s="6">
        <v>600</v>
      </c>
    </row>
    <row r="10" spans="1:14" x14ac:dyDescent="0.25">
      <c r="A10" s="4">
        <v>109</v>
      </c>
      <c r="B10" s="4" t="s">
        <v>43</v>
      </c>
      <c r="C10" s="4" t="s">
        <v>44</v>
      </c>
      <c r="D10" s="3">
        <v>45780</v>
      </c>
      <c r="E10" s="4">
        <v>2</v>
      </c>
      <c r="F10" s="4">
        <v>2025</v>
      </c>
      <c r="G10" s="4">
        <v>5</v>
      </c>
      <c r="H10" s="4" t="s">
        <v>22</v>
      </c>
      <c r="I10" s="4" t="s">
        <v>23</v>
      </c>
      <c r="J10" s="8">
        <v>5</v>
      </c>
      <c r="K10" s="6">
        <v>168</v>
      </c>
      <c r="L10" s="4" t="s">
        <v>45</v>
      </c>
      <c r="M10" s="4" t="s">
        <v>12</v>
      </c>
      <c r="N10" s="6">
        <v>842</v>
      </c>
    </row>
    <row r="11" spans="1:14" x14ac:dyDescent="0.25">
      <c r="A11" s="4">
        <v>111</v>
      </c>
      <c r="B11" s="4" t="s">
        <v>51</v>
      </c>
      <c r="C11" s="4" t="s">
        <v>52</v>
      </c>
      <c r="D11" s="3">
        <v>45952</v>
      </c>
      <c r="E11" s="4">
        <v>4</v>
      </c>
      <c r="F11" s="4">
        <v>2025</v>
      </c>
      <c r="G11" s="4">
        <v>10</v>
      </c>
      <c r="H11" s="4" t="s">
        <v>53</v>
      </c>
      <c r="I11" s="4" t="s">
        <v>28</v>
      </c>
      <c r="J11" s="8">
        <v>2</v>
      </c>
      <c r="K11" s="6">
        <v>866</v>
      </c>
      <c r="L11" s="4" t="s">
        <v>45</v>
      </c>
      <c r="M11" s="4" t="s">
        <v>40</v>
      </c>
      <c r="N11" s="6">
        <v>1732</v>
      </c>
    </row>
    <row r="12" spans="1:14" x14ac:dyDescent="0.25">
      <c r="A12" s="4">
        <v>112</v>
      </c>
      <c r="B12" s="4" t="s">
        <v>54</v>
      </c>
      <c r="C12" s="4" t="s">
        <v>55</v>
      </c>
      <c r="D12" s="3">
        <v>45718</v>
      </c>
      <c r="E12" s="4">
        <v>1</v>
      </c>
      <c r="F12" s="4">
        <v>2025</v>
      </c>
      <c r="G12" s="4">
        <v>3</v>
      </c>
      <c r="H12" s="4" t="s">
        <v>56</v>
      </c>
      <c r="I12" s="4" t="s">
        <v>57</v>
      </c>
      <c r="J12" s="8">
        <v>4</v>
      </c>
      <c r="K12" s="6">
        <v>752</v>
      </c>
      <c r="L12" s="4" t="s">
        <v>37</v>
      </c>
      <c r="M12" s="4" t="s">
        <v>24</v>
      </c>
      <c r="N12" s="6">
        <v>3009</v>
      </c>
    </row>
    <row r="13" spans="1:14" x14ac:dyDescent="0.25">
      <c r="A13" s="4">
        <v>113</v>
      </c>
      <c r="B13" s="4" t="s">
        <v>58</v>
      </c>
      <c r="C13" s="4" t="s">
        <v>59</v>
      </c>
      <c r="D13" s="3">
        <v>45862</v>
      </c>
      <c r="E13" s="4">
        <v>3</v>
      </c>
      <c r="F13" s="4">
        <v>2025</v>
      </c>
      <c r="G13" s="4">
        <v>7</v>
      </c>
      <c r="H13" s="4" t="s">
        <v>60</v>
      </c>
      <c r="I13" s="4" t="s">
        <v>28</v>
      </c>
      <c r="J13" s="8">
        <v>1</v>
      </c>
      <c r="K13" s="6">
        <v>412</v>
      </c>
      <c r="L13" s="4" t="s">
        <v>45</v>
      </c>
      <c r="M13" s="4" t="s">
        <v>19</v>
      </c>
      <c r="N13" s="6">
        <v>412</v>
      </c>
    </row>
    <row r="14" spans="1:14" x14ac:dyDescent="0.25">
      <c r="A14" s="4">
        <v>114</v>
      </c>
      <c r="B14" s="4" t="s">
        <v>61</v>
      </c>
      <c r="C14" s="4" t="s">
        <v>62</v>
      </c>
      <c r="D14" s="3">
        <v>44931</v>
      </c>
      <c r="E14" s="4">
        <v>1</v>
      </c>
      <c r="F14" s="4">
        <v>2023</v>
      </c>
      <c r="G14" s="4">
        <v>1</v>
      </c>
      <c r="H14" s="4" t="s">
        <v>15</v>
      </c>
      <c r="I14" s="4" t="s">
        <v>16</v>
      </c>
      <c r="J14" s="8">
        <v>2</v>
      </c>
      <c r="K14" s="6">
        <v>413</v>
      </c>
      <c r="L14" s="4" t="s">
        <v>260</v>
      </c>
      <c r="M14" s="4" t="s">
        <v>12</v>
      </c>
      <c r="N14" s="6">
        <v>826</v>
      </c>
    </row>
    <row r="15" spans="1:14" x14ac:dyDescent="0.25">
      <c r="A15" s="4">
        <v>115</v>
      </c>
      <c r="B15" s="4" t="s">
        <v>64</v>
      </c>
      <c r="C15" s="4" t="s">
        <v>65</v>
      </c>
      <c r="D15" s="3">
        <v>45667</v>
      </c>
      <c r="E15" s="4">
        <v>1</v>
      </c>
      <c r="F15" s="4">
        <v>2025</v>
      </c>
      <c r="G15" s="4">
        <v>1</v>
      </c>
      <c r="H15" s="4" t="s">
        <v>60</v>
      </c>
      <c r="I15" s="4" t="s">
        <v>28</v>
      </c>
      <c r="J15" s="8">
        <v>2</v>
      </c>
      <c r="K15" s="6">
        <v>797</v>
      </c>
      <c r="L15" s="4" t="s">
        <v>260</v>
      </c>
      <c r="M15" s="4" t="s">
        <v>40</v>
      </c>
      <c r="N15" s="6">
        <v>1116</v>
      </c>
    </row>
    <row r="16" spans="1:14" x14ac:dyDescent="0.25">
      <c r="A16" s="4">
        <v>116</v>
      </c>
      <c r="B16" s="4" t="s">
        <v>66</v>
      </c>
      <c r="C16" s="4" t="s">
        <v>67</v>
      </c>
      <c r="D16" s="3">
        <v>45960</v>
      </c>
      <c r="E16" s="4">
        <v>4</v>
      </c>
      <c r="F16" s="4">
        <v>2025</v>
      </c>
      <c r="G16" s="4">
        <v>10</v>
      </c>
      <c r="H16" s="4" t="s">
        <v>68</v>
      </c>
      <c r="I16" s="4" t="s">
        <v>10</v>
      </c>
      <c r="J16" s="8">
        <v>4</v>
      </c>
      <c r="K16" s="6">
        <v>797</v>
      </c>
      <c r="L16" s="4" t="s">
        <v>260</v>
      </c>
      <c r="M16" s="4" t="s">
        <v>19</v>
      </c>
      <c r="N16" s="6">
        <v>1116</v>
      </c>
    </row>
    <row r="17" spans="1:14" x14ac:dyDescent="0.25">
      <c r="A17" s="4">
        <v>117</v>
      </c>
      <c r="B17" s="4" t="s">
        <v>69</v>
      </c>
      <c r="C17" s="4" t="s">
        <v>70</v>
      </c>
      <c r="D17" s="3">
        <v>45700</v>
      </c>
      <c r="E17" s="4">
        <v>1</v>
      </c>
      <c r="F17" s="4">
        <v>2025</v>
      </c>
      <c r="G17" s="4">
        <v>2</v>
      </c>
      <c r="H17" s="4" t="s">
        <v>9</v>
      </c>
      <c r="I17" s="4" t="s">
        <v>262</v>
      </c>
      <c r="J17" s="8">
        <v>2</v>
      </c>
      <c r="K17" s="6">
        <v>10000</v>
      </c>
      <c r="L17" s="4" t="s">
        <v>260</v>
      </c>
      <c r="M17" s="4" t="s">
        <v>19</v>
      </c>
      <c r="N17" s="6">
        <v>20000</v>
      </c>
    </row>
    <row r="18" spans="1:14" x14ac:dyDescent="0.25">
      <c r="A18" s="4">
        <v>118</v>
      </c>
      <c r="B18" s="4" t="s">
        <v>72</v>
      </c>
      <c r="C18" s="4" t="s">
        <v>73</v>
      </c>
      <c r="D18" s="3">
        <v>45808</v>
      </c>
      <c r="E18" s="4">
        <v>2</v>
      </c>
      <c r="F18" s="4">
        <v>2025</v>
      </c>
      <c r="G18" s="4">
        <v>5</v>
      </c>
      <c r="H18" s="4" t="s">
        <v>27</v>
      </c>
      <c r="I18" s="4" t="s">
        <v>28</v>
      </c>
      <c r="J18" s="8">
        <v>5</v>
      </c>
      <c r="K18" s="6">
        <v>248</v>
      </c>
      <c r="L18" s="4" t="s">
        <v>261</v>
      </c>
      <c r="M18" s="4" t="s">
        <v>19</v>
      </c>
      <c r="N18" s="6">
        <v>1239</v>
      </c>
    </row>
    <row r="19" spans="1:14" x14ac:dyDescent="0.25">
      <c r="A19" s="4">
        <v>119</v>
      </c>
      <c r="B19" s="4" t="s">
        <v>74</v>
      </c>
      <c r="C19" s="4" t="s">
        <v>75</v>
      </c>
      <c r="D19" s="3">
        <v>45645</v>
      </c>
      <c r="E19" s="4">
        <v>4</v>
      </c>
      <c r="F19" s="4">
        <v>2024</v>
      </c>
      <c r="G19" s="4">
        <v>12</v>
      </c>
      <c r="H19" s="4" t="s">
        <v>48</v>
      </c>
      <c r="I19" s="4" t="s">
        <v>23</v>
      </c>
      <c r="J19" s="8">
        <v>4</v>
      </c>
      <c r="K19" s="6">
        <v>438</v>
      </c>
      <c r="L19" s="4" t="s">
        <v>260</v>
      </c>
      <c r="M19" s="4" t="s">
        <v>19</v>
      </c>
      <c r="N19" s="6">
        <v>1753</v>
      </c>
    </row>
    <row r="20" spans="1:14" x14ac:dyDescent="0.25">
      <c r="A20" s="4">
        <v>120</v>
      </c>
      <c r="B20" s="4" t="s">
        <v>76</v>
      </c>
      <c r="C20" s="4" t="s">
        <v>77</v>
      </c>
      <c r="D20" s="3">
        <v>45821</v>
      </c>
      <c r="E20" s="4">
        <v>2</v>
      </c>
      <c r="F20" s="4">
        <v>2025</v>
      </c>
      <c r="G20" s="4">
        <v>6</v>
      </c>
      <c r="H20" s="4" t="s">
        <v>78</v>
      </c>
      <c r="I20" s="4" t="s">
        <v>16</v>
      </c>
      <c r="J20" s="8">
        <v>5</v>
      </c>
      <c r="K20" s="6">
        <v>300</v>
      </c>
      <c r="L20" s="4" t="s">
        <v>45</v>
      </c>
      <c r="M20" s="4" t="s">
        <v>34</v>
      </c>
      <c r="N20" s="6">
        <v>1753</v>
      </c>
    </row>
    <row r="21" spans="1:14" x14ac:dyDescent="0.25">
      <c r="A21" s="4">
        <v>121</v>
      </c>
      <c r="B21" s="4" t="s">
        <v>81</v>
      </c>
      <c r="C21" s="4" t="s">
        <v>82</v>
      </c>
      <c r="D21" s="3">
        <v>45941</v>
      </c>
      <c r="E21" s="4">
        <v>4</v>
      </c>
      <c r="F21" s="4">
        <v>2025</v>
      </c>
      <c r="G21" s="4">
        <v>10</v>
      </c>
      <c r="H21" s="4" t="s">
        <v>48</v>
      </c>
      <c r="I21" s="4" t="s">
        <v>23</v>
      </c>
      <c r="J21" s="8">
        <v>4</v>
      </c>
      <c r="K21" s="6">
        <v>523</v>
      </c>
      <c r="L21" s="4" t="s">
        <v>45</v>
      </c>
      <c r="M21" s="4" t="s">
        <v>24</v>
      </c>
      <c r="N21" s="6">
        <v>2092</v>
      </c>
    </row>
    <row r="22" spans="1:14" x14ac:dyDescent="0.25">
      <c r="A22" s="4">
        <v>122</v>
      </c>
      <c r="B22" s="4" t="s">
        <v>83</v>
      </c>
      <c r="C22" s="4" t="s">
        <v>84</v>
      </c>
      <c r="D22" s="3">
        <v>45793</v>
      </c>
      <c r="E22" s="4">
        <v>2</v>
      </c>
      <c r="F22" s="4">
        <v>2025</v>
      </c>
      <c r="G22" s="4">
        <v>5</v>
      </c>
      <c r="H22" s="4" t="s">
        <v>68</v>
      </c>
      <c r="I22" s="4" t="s">
        <v>10</v>
      </c>
      <c r="J22" s="8">
        <v>2</v>
      </c>
      <c r="K22" s="6">
        <v>557</v>
      </c>
      <c r="L22" s="4" t="s">
        <v>261</v>
      </c>
      <c r="M22" s="4" t="s">
        <v>12</v>
      </c>
      <c r="N22" s="6">
        <v>1114</v>
      </c>
    </row>
    <row r="23" spans="1:14" x14ac:dyDescent="0.25">
      <c r="A23" s="4">
        <v>123</v>
      </c>
      <c r="B23" s="4" t="s">
        <v>85</v>
      </c>
      <c r="C23" s="4" t="s">
        <v>86</v>
      </c>
      <c r="D23" s="3">
        <v>45936</v>
      </c>
      <c r="E23" s="4">
        <v>4</v>
      </c>
      <c r="F23" s="4">
        <v>2025</v>
      </c>
      <c r="G23" s="4">
        <v>10</v>
      </c>
      <c r="H23" s="4" t="s">
        <v>87</v>
      </c>
      <c r="I23" s="4" t="s">
        <v>262</v>
      </c>
      <c r="J23" s="8">
        <v>3</v>
      </c>
      <c r="K23" s="6">
        <v>616</v>
      </c>
      <c r="L23" s="4" t="s">
        <v>260</v>
      </c>
      <c r="M23" s="4" t="s">
        <v>34</v>
      </c>
      <c r="N23" s="6">
        <v>1848</v>
      </c>
    </row>
    <row r="24" spans="1:14" x14ac:dyDescent="0.25">
      <c r="A24" s="4">
        <v>124</v>
      </c>
      <c r="B24" s="4" t="s">
        <v>88</v>
      </c>
      <c r="C24" s="4" t="s">
        <v>89</v>
      </c>
      <c r="D24" s="3">
        <v>45808</v>
      </c>
      <c r="E24" s="4">
        <v>2</v>
      </c>
      <c r="F24" s="4">
        <v>2025</v>
      </c>
      <c r="G24" s="4">
        <v>5</v>
      </c>
      <c r="H24" s="4" t="s">
        <v>53</v>
      </c>
      <c r="I24" s="4" t="s">
        <v>28</v>
      </c>
      <c r="J24" s="8">
        <v>5</v>
      </c>
      <c r="K24" s="6">
        <v>616</v>
      </c>
      <c r="L24" s="4" t="s">
        <v>261</v>
      </c>
      <c r="M24" s="4" t="s">
        <v>34</v>
      </c>
      <c r="N24" s="6">
        <v>1848</v>
      </c>
    </row>
    <row r="25" spans="1:14" x14ac:dyDescent="0.25">
      <c r="A25" s="4">
        <v>125</v>
      </c>
      <c r="B25" s="4" t="s">
        <v>90</v>
      </c>
      <c r="C25" s="4" t="s">
        <v>91</v>
      </c>
      <c r="D25" s="3">
        <v>45697</v>
      </c>
      <c r="E25" s="4">
        <v>1</v>
      </c>
      <c r="F25" s="4">
        <v>2025</v>
      </c>
      <c r="G25" s="4">
        <v>2</v>
      </c>
      <c r="H25" s="4" t="s">
        <v>53</v>
      </c>
      <c r="I25" s="4" t="s">
        <v>28</v>
      </c>
      <c r="J25" s="8">
        <v>4</v>
      </c>
      <c r="K25" s="6">
        <v>766</v>
      </c>
      <c r="L25" s="4" t="s">
        <v>261</v>
      </c>
      <c r="M25" s="4" t="s">
        <v>12</v>
      </c>
      <c r="N25" s="6">
        <v>3063</v>
      </c>
    </row>
    <row r="26" spans="1:14" x14ac:dyDescent="0.25">
      <c r="A26" s="4">
        <v>126</v>
      </c>
      <c r="B26" s="4" t="s">
        <v>92</v>
      </c>
      <c r="C26" s="4" t="s">
        <v>93</v>
      </c>
      <c r="D26" s="3">
        <v>45795</v>
      </c>
      <c r="E26" s="4">
        <v>2</v>
      </c>
      <c r="F26" s="4">
        <v>2025</v>
      </c>
      <c r="G26" s="4">
        <v>5</v>
      </c>
      <c r="H26" s="4" t="s">
        <v>56</v>
      </c>
      <c r="I26" s="4" t="s">
        <v>57</v>
      </c>
      <c r="J26" s="8">
        <v>4</v>
      </c>
      <c r="K26" s="6">
        <v>837</v>
      </c>
      <c r="L26" s="4" t="s">
        <v>37</v>
      </c>
      <c r="M26" s="4" t="s">
        <v>34</v>
      </c>
      <c r="N26" s="6">
        <v>3347</v>
      </c>
    </row>
    <row r="27" spans="1:14" x14ac:dyDescent="0.25">
      <c r="A27" s="4">
        <v>127</v>
      </c>
      <c r="B27" s="4" t="s">
        <v>94</v>
      </c>
      <c r="C27" s="4" t="s">
        <v>95</v>
      </c>
      <c r="D27" s="3">
        <v>45789</v>
      </c>
      <c r="E27" s="4">
        <v>2</v>
      </c>
      <c r="F27" s="4">
        <v>2025</v>
      </c>
      <c r="G27" s="4">
        <v>5</v>
      </c>
      <c r="H27" s="4" t="s">
        <v>9</v>
      </c>
      <c r="I27" s="4" t="s">
        <v>10</v>
      </c>
      <c r="J27" s="8">
        <v>5</v>
      </c>
      <c r="K27" s="6">
        <v>336</v>
      </c>
      <c r="L27" s="4" t="s">
        <v>37</v>
      </c>
      <c r="M27" s="4" t="s">
        <v>40</v>
      </c>
      <c r="N27" s="6">
        <v>1680</v>
      </c>
    </row>
    <row r="28" spans="1:14" x14ac:dyDescent="0.25">
      <c r="A28" s="4">
        <v>128</v>
      </c>
      <c r="B28" s="4" t="s">
        <v>96</v>
      </c>
      <c r="C28" s="4" t="s">
        <v>97</v>
      </c>
      <c r="D28" s="3">
        <v>45606</v>
      </c>
      <c r="E28" s="4">
        <v>4</v>
      </c>
      <c r="F28" s="4">
        <v>2024</v>
      </c>
      <c r="G28" s="4">
        <v>11</v>
      </c>
      <c r="H28" s="4" t="s">
        <v>98</v>
      </c>
      <c r="I28" s="4" t="s">
        <v>16</v>
      </c>
      <c r="J28" s="8">
        <v>3</v>
      </c>
      <c r="K28" s="6">
        <v>899</v>
      </c>
      <c r="L28" s="4" t="s">
        <v>37</v>
      </c>
      <c r="M28" s="4" t="s">
        <v>24</v>
      </c>
      <c r="N28" s="6">
        <v>2696</v>
      </c>
    </row>
    <row r="29" spans="1:14" x14ac:dyDescent="0.25">
      <c r="A29" s="4">
        <v>129</v>
      </c>
      <c r="B29" s="4" t="s">
        <v>100</v>
      </c>
      <c r="C29" s="4" t="s">
        <v>101</v>
      </c>
      <c r="D29" s="3">
        <v>45830</v>
      </c>
      <c r="E29" s="4">
        <v>2</v>
      </c>
      <c r="F29" s="4">
        <v>2025</v>
      </c>
      <c r="G29" s="4">
        <v>6</v>
      </c>
      <c r="H29" s="4" t="s">
        <v>27</v>
      </c>
      <c r="I29" s="4" t="s">
        <v>28</v>
      </c>
      <c r="J29" s="8">
        <v>4</v>
      </c>
      <c r="K29" s="6">
        <v>737</v>
      </c>
      <c r="L29" s="4" t="s">
        <v>37</v>
      </c>
      <c r="M29" s="4" t="s">
        <v>40</v>
      </c>
      <c r="N29" s="6">
        <v>2947</v>
      </c>
    </row>
    <row r="30" spans="1:14" x14ac:dyDescent="0.25">
      <c r="A30" s="4">
        <v>130</v>
      </c>
      <c r="B30" s="4" t="s">
        <v>102</v>
      </c>
      <c r="C30" s="4" t="s">
        <v>103</v>
      </c>
      <c r="D30" s="3">
        <v>45884</v>
      </c>
      <c r="E30" s="4">
        <v>3</v>
      </c>
      <c r="F30" s="4">
        <v>2025</v>
      </c>
      <c r="G30" s="4">
        <v>8</v>
      </c>
      <c r="H30" s="4" t="s">
        <v>22</v>
      </c>
      <c r="I30" s="4" t="s">
        <v>23</v>
      </c>
      <c r="J30" s="8">
        <v>2</v>
      </c>
      <c r="K30" s="6">
        <v>737</v>
      </c>
      <c r="L30" s="4" t="s">
        <v>37</v>
      </c>
      <c r="M30" s="4" t="s">
        <v>19</v>
      </c>
      <c r="N30" s="6">
        <v>2947</v>
      </c>
    </row>
    <row r="31" spans="1:14" x14ac:dyDescent="0.25">
      <c r="A31" s="4">
        <v>131</v>
      </c>
      <c r="B31" s="4" t="s">
        <v>104</v>
      </c>
      <c r="C31" s="4" t="s">
        <v>105</v>
      </c>
      <c r="D31" s="3">
        <v>45819</v>
      </c>
      <c r="E31" s="4">
        <v>2</v>
      </c>
      <c r="F31" s="4">
        <v>2025</v>
      </c>
      <c r="G31" s="4">
        <v>6</v>
      </c>
      <c r="H31" s="4" t="s">
        <v>98</v>
      </c>
      <c r="I31" s="4" t="s">
        <v>10</v>
      </c>
      <c r="J31" s="8">
        <v>5</v>
      </c>
      <c r="K31" s="6">
        <v>617</v>
      </c>
      <c r="L31" s="4" t="s">
        <v>261</v>
      </c>
      <c r="M31" s="4" t="s">
        <v>12</v>
      </c>
      <c r="N31" s="6">
        <v>3083</v>
      </c>
    </row>
    <row r="32" spans="1:14" x14ac:dyDescent="0.25">
      <c r="A32" s="4">
        <v>132</v>
      </c>
      <c r="B32" s="4" t="s">
        <v>106</v>
      </c>
      <c r="C32" s="4" t="s">
        <v>107</v>
      </c>
      <c r="D32" s="3">
        <v>45749</v>
      </c>
      <c r="E32" s="4">
        <v>2</v>
      </c>
      <c r="F32" s="4">
        <v>2025</v>
      </c>
      <c r="G32" s="4">
        <v>4</v>
      </c>
      <c r="H32" s="4" t="s">
        <v>78</v>
      </c>
      <c r="I32" s="4" t="s">
        <v>16</v>
      </c>
      <c r="J32" s="8">
        <v>1</v>
      </c>
      <c r="K32" s="6">
        <v>267</v>
      </c>
      <c r="L32" s="4" t="s">
        <v>261</v>
      </c>
      <c r="M32" s="4" t="s">
        <v>24</v>
      </c>
      <c r="N32" s="6">
        <v>267</v>
      </c>
    </row>
    <row r="33" spans="1:14" x14ac:dyDescent="0.25">
      <c r="A33" s="4">
        <v>133</v>
      </c>
      <c r="B33" s="4" t="s">
        <v>108</v>
      </c>
      <c r="C33" s="4" t="s">
        <v>109</v>
      </c>
      <c r="D33" s="3">
        <v>45631</v>
      </c>
      <c r="E33" s="4">
        <v>4</v>
      </c>
      <c r="F33" s="4">
        <v>2024</v>
      </c>
      <c r="G33" s="4">
        <v>12</v>
      </c>
      <c r="H33" s="4" t="s">
        <v>31</v>
      </c>
      <c r="I33" s="4" t="s">
        <v>263</v>
      </c>
      <c r="J33" s="8">
        <v>5</v>
      </c>
      <c r="K33" s="6">
        <v>343</v>
      </c>
      <c r="L33" s="4" t="s">
        <v>45</v>
      </c>
      <c r="M33" s="4" t="s">
        <v>12</v>
      </c>
      <c r="N33" s="6">
        <v>1716</v>
      </c>
    </row>
    <row r="34" spans="1:14" x14ac:dyDescent="0.25">
      <c r="A34" s="4">
        <v>134</v>
      </c>
      <c r="B34" s="4" t="s">
        <v>111</v>
      </c>
      <c r="C34" s="4" t="s">
        <v>112</v>
      </c>
      <c r="D34" s="3">
        <v>45934</v>
      </c>
      <c r="E34" s="4">
        <v>4</v>
      </c>
      <c r="F34" s="4">
        <v>2025</v>
      </c>
      <c r="G34" s="4">
        <v>10</v>
      </c>
      <c r="H34" s="4" t="s">
        <v>264</v>
      </c>
      <c r="I34" s="4" t="s">
        <v>57</v>
      </c>
      <c r="J34" s="8">
        <v>5</v>
      </c>
      <c r="K34" s="6">
        <v>592</v>
      </c>
      <c r="L34" s="4" t="s">
        <v>261</v>
      </c>
      <c r="M34" s="4" t="s">
        <v>12</v>
      </c>
      <c r="N34" s="6">
        <v>2958</v>
      </c>
    </row>
    <row r="35" spans="1:14" x14ac:dyDescent="0.25">
      <c r="A35" s="4">
        <v>135</v>
      </c>
      <c r="B35" s="4" t="s">
        <v>114</v>
      </c>
      <c r="C35" s="4" t="s">
        <v>115</v>
      </c>
      <c r="D35" s="3">
        <v>45697</v>
      </c>
      <c r="E35" s="4">
        <v>1</v>
      </c>
      <c r="F35" s="4">
        <v>2025</v>
      </c>
      <c r="G35" s="4">
        <v>2</v>
      </c>
      <c r="H35" s="4" t="s">
        <v>116</v>
      </c>
      <c r="I35" s="4" t="s">
        <v>16</v>
      </c>
      <c r="J35" s="8">
        <v>4</v>
      </c>
      <c r="K35" s="6">
        <v>446</v>
      </c>
      <c r="L35" s="4" t="s">
        <v>260</v>
      </c>
      <c r="M35" s="4" t="s">
        <v>34</v>
      </c>
      <c r="N35" s="6">
        <v>1785</v>
      </c>
    </row>
    <row r="36" spans="1:14" x14ac:dyDescent="0.25">
      <c r="A36" s="4">
        <v>136</v>
      </c>
      <c r="B36" s="4" t="s">
        <v>117</v>
      </c>
      <c r="C36" s="4" t="s">
        <v>118</v>
      </c>
      <c r="D36" s="3">
        <v>45820</v>
      </c>
      <c r="E36" s="4">
        <v>2</v>
      </c>
      <c r="F36" s="4">
        <v>2025</v>
      </c>
      <c r="G36" s="4">
        <v>6</v>
      </c>
      <c r="H36" s="4" t="s">
        <v>119</v>
      </c>
      <c r="I36" s="4" t="s">
        <v>16</v>
      </c>
      <c r="J36" s="8">
        <v>1</v>
      </c>
      <c r="K36" s="6">
        <v>697</v>
      </c>
      <c r="L36" s="4" t="s">
        <v>45</v>
      </c>
      <c r="M36" s="4" t="s">
        <v>24</v>
      </c>
      <c r="N36" s="6">
        <v>697</v>
      </c>
    </row>
    <row r="37" spans="1:14" x14ac:dyDescent="0.25">
      <c r="A37" s="4">
        <v>137</v>
      </c>
      <c r="B37" s="4" t="s">
        <v>120</v>
      </c>
      <c r="C37" s="4" t="s">
        <v>121</v>
      </c>
      <c r="D37" s="3">
        <v>45711</v>
      </c>
      <c r="E37" s="4">
        <v>1</v>
      </c>
      <c r="F37" s="4">
        <v>2025</v>
      </c>
      <c r="G37" s="4">
        <v>2</v>
      </c>
      <c r="H37" s="4" t="s">
        <v>87</v>
      </c>
      <c r="I37" s="4" t="s">
        <v>10</v>
      </c>
      <c r="J37" s="8">
        <v>3</v>
      </c>
      <c r="K37" s="6">
        <v>100</v>
      </c>
      <c r="L37" s="4" t="s">
        <v>260</v>
      </c>
      <c r="M37" s="4" t="s">
        <v>24</v>
      </c>
      <c r="N37" s="6">
        <v>300</v>
      </c>
    </row>
    <row r="38" spans="1:14" x14ac:dyDescent="0.25">
      <c r="A38" s="4">
        <v>138</v>
      </c>
      <c r="B38" s="4" t="s">
        <v>122</v>
      </c>
      <c r="C38" s="4" t="s">
        <v>123</v>
      </c>
      <c r="D38" s="3">
        <v>45878</v>
      </c>
      <c r="E38" s="4">
        <v>3</v>
      </c>
      <c r="F38" s="4">
        <v>2025</v>
      </c>
      <c r="G38" s="4">
        <v>8</v>
      </c>
      <c r="H38" s="4" t="s">
        <v>98</v>
      </c>
      <c r="I38" s="4" t="s">
        <v>10</v>
      </c>
      <c r="J38" s="8">
        <v>1</v>
      </c>
      <c r="K38" s="6">
        <v>531</v>
      </c>
      <c r="L38" s="4" t="s">
        <v>261</v>
      </c>
      <c r="M38" s="4" t="s">
        <v>19</v>
      </c>
      <c r="N38" s="6">
        <v>531</v>
      </c>
    </row>
    <row r="39" spans="1:14" x14ac:dyDescent="0.25">
      <c r="A39" s="4">
        <v>139</v>
      </c>
      <c r="B39" s="4" t="s">
        <v>124</v>
      </c>
      <c r="C39" s="4" t="s">
        <v>125</v>
      </c>
      <c r="D39" s="3">
        <v>45697</v>
      </c>
      <c r="E39" s="4">
        <v>1</v>
      </c>
      <c r="F39" s="4">
        <v>2025</v>
      </c>
      <c r="G39" s="4">
        <v>2</v>
      </c>
      <c r="H39" s="4" t="s">
        <v>15</v>
      </c>
      <c r="I39" s="4" t="s">
        <v>16</v>
      </c>
      <c r="J39" s="8">
        <v>2</v>
      </c>
      <c r="K39" s="6">
        <v>681</v>
      </c>
      <c r="L39" s="4" t="s">
        <v>45</v>
      </c>
      <c r="M39" s="4" t="s">
        <v>34</v>
      </c>
      <c r="N39" s="6">
        <v>1363</v>
      </c>
    </row>
    <row r="40" spans="1:14" x14ac:dyDescent="0.25">
      <c r="A40" s="4">
        <v>140</v>
      </c>
      <c r="B40" s="4" t="s">
        <v>126</v>
      </c>
      <c r="C40" s="4" t="s">
        <v>127</v>
      </c>
      <c r="D40" s="3">
        <v>45714</v>
      </c>
      <c r="E40" s="4">
        <v>1</v>
      </c>
      <c r="F40" s="4">
        <v>2025</v>
      </c>
      <c r="G40" s="4">
        <v>2</v>
      </c>
      <c r="H40" s="4" t="s">
        <v>60</v>
      </c>
      <c r="I40" s="4" t="s">
        <v>28</v>
      </c>
      <c r="J40" s="8">
        <v>4</v>
      </c>
      <c r="K40" s="6">
        <v>589</v>
      </c>
      <c r="L40" s="4" t="s">
        <v>45</v>
      </c>
      <c r="M40" s="4" t="s">
        <v>40</v>
      </c>
      <c r="N40" s="6">
        <v>2356</v>
      </c>
    </row>
    <row r="41" spans="1:14" x14ac:dyDescent="0.25">
      <c r="A41" s="4">
        <v>141</v>
      </c>
      <c r="B41" s="4" t="s">
        <v>128</v>
      </c>
      <c r="C41" s="4" t="s">
        <v>129</v>
      </c>
      <c r="D41" s="3">
        <v>45701</v>
      </c>
      <c r="E41" s="4">
        <v>1</v>
      </c>
      <c r="F41" s="4">
        <v>2025</v>
      </c>
      <c r="G41" s="4">
        <v>2</v>
      </c>
      <c r="H41" s="4" t="s">
        <v>60</v>
      </c>
      <c r="I41" s="4" t="s">
        <v>28</v>
      </c>
      <c r="J41" s="8">
        <v>3</v>
      </c>
      <c r="K41" s="6">
        <v>546</v>
      </c>
      <c r="L41" s="4" t="s">
        <v>260</v>
      </c>
      <c r="M41" s="4" t="s">
        <v>40</v>
      </c>
      <c r="N41" s="6">
        <v>1638</v>
      </c>
    </row>
    <row r="42" spans="1:14" x14ac:dyDescent="0.25">
      <c r="A42" s="4">
        <v>142</v>
      </c>
      <c r="B42" s="4" t="s">
        <v>130</v>
      </c>
      <c r="C42" s="4" t="s">
        <v>131</v>
      </c>
      <c r="D42" s="3">
        <v>45960</v>
      </c>
      <c r="E42" s="4">
        <v>4</v>
      </c>
      <c r="F42" s="4">
        <v>2025</v>
      </c>
      <c r="G42" s="4">
        <v>10</v>
      </c>
      <c r="H42" s="4" t="s">
        <v>56</v>
      </c>
      <c r="I42" s="4" t="s">
        <v>57</v>
      </c>
      <c r="J42" s="8">
        <v>5</v>
      </c>
      <c r="K42" s="6">
        <v>645</v>
      </c>
      <c r="L42" s="4" t="s">
        <v>45</v>
      </c>
      <c r="M42" s="4" t="s">
        <v>12</v>
      </c>
      <c r="N42" s="6">
        <v>2258</v>
      </c>
    </row>
    <row r="43" spans="1:14" x14ac:dyDescent="0.25">
      <c r="A43" s="4">
        <v>142</v>
      </c>
      <c r="B43" s="4" t="s">
        <v>130</v>
      </c>
      <c r="C43" s="4" t="s">
        <v>131</v>
      </c>
      <c r="D43" s="3">
        <v>45960</v>
      </c>
      <c r="E43" s="4">
        <v>4</v>
      </c>
      <c r="F43" s="4">
        <v>2025</v>
      </c>
      <c r="G43" s="4">
        <v>10</v>
      </c>
      <c r="H43" s="4" t="s">
        <v>56</v>
      </c>
      <c r="I43" s="4" t="s">
        <v>57</v>
      </c>
      <c r="J43" s="8">
        <v>5</v>
      </c>
      <c r="K43" s="6">
        <v>645</v>
      </c>
      <c r="L43" s="4" t="s">
        <v>45</v>
      </c>
      <c r="M43" s="4" t="s">
        <v>12</v>
      </c>
      <c r="N43" s="6">
        <v>3226</v>
      </c>
    </row>
    <row r="44" spans="1:14" x14ac:dyDescent="0.25">
      <c r="A44" s="4">
        <v>143</v>
      </c>
      <c r="B44" s="4" t="s">
        <v>132</v>
      </c>
      <c r="C44" s="4" t="s">
        <v>133</v>
      </c>
      <c r="D44" s="3">
        <v>45849</v>
      </c>
      <c r="E44" s="4">
        <v>3</v>
      </c>
      <c r="F44" s="4">
        <v>2025</v>
      </c>
      <c r="G44" s="4">
        <v>7</v>
      </c>
      <c r="H44" s="4" t="s">
        <v>264</v>
      </c>
      <c r="I44" s="4" t="s">
        <v>57</v>
      </c>
      <c r="J44" s="8">
        <v>5</v>
      </c>
      <c r="K44" s="6">
        <v>827</v>
      </c>
      <c r="L44" s="4" t="s">
        <v>37</v>
      </c>
      <c r="M44" s="4" t="s">
        <v>34</v>
      </c>
      <c r="N44" s="6">
        <v>4134</v>
      </c>
    </row>
    <row r="45" spans="1:14" x14ac:dyDescent="0.25">
      <c r="A45" s="4">
        <v>144</v>
      </c>
      <c r="B45" s="4" t="s">
        <v>134</v>
      </c>
      <c r="C45" s="4" t="s">
        <v>135</v>
      </c>
      <c r="D45" s="3">
        <v>45684</v>
      </c>
      <c r="E45" s="4">
        <v>1</v>
      </c>
      <c r="F45" s="4">
        <v>2025</v>
      </c>
      <c r="G45" s="4">
        <v>1</v>
      </c>
      <c r="H45" s="4" t="s">
        <v>136</v>
      </c>
      <c r="I45" s="4" t="s">
        <v>23</v>
      </c>
      <c r="J45" s="8">
        <v>5</v>
      </c>
      <c r="K45" s="6">
        <v>849</v>
      </c>
      <c r="L45" s="4" t="s">
        <v>37</v>
      </c>
      <c r="M45" s="4" t="s">
        <v>19</v>
      </c>
      <c r="N45" s="6">
        <v>4245</v>
      </c>
    </row>
    <row r="46" spans="1:14" x14ac:dyDescent="0.25">
      <c r="A46" s="4">
        <v>145</v>
      </c>
      <c r="B46" s="4" t="s">
        <v>137</v>
      </c>
      <c r="C46" s="4" t="s">
        <v>138</v>
      </c>
      <c r="D46" s="3">
        <v>45047</v>
      </c>
      <c r="E46" s="4">
        <v>2</v>
      </c>
      <c r="F46" s="4">
        <v>2023</v>
      </c>
      <c r="G46" s="4">
        <v>5</v>
      </c>
      <c r="H46" s="4" t="s">
        <v>139</v>
      </c>
      <c r="I46" s="4" t="s">
        <v>16</v>
      </c>
      <c r="J46" s="8">
        <v>2</v>
      </c>
      <c r="K46" s="6">
        <v>861</v>
      </c>
      <c r="L46" s="4" t="s">
        <v>37</v>
      </c>
      <c r="M46" s="4" t="s">
        <v>40</v>
      </c>
      <c r="N46" s="6">
        <v>1722</v>
      </c>
    </row>
    <row r="47" spans="1:14" x14ac:dyDescent="0.25">
      <c r="A47" s="4">
        <v>146</v>
      </c>
      <c r="B47" s="4" t="s">
        <v>140</v>
      </c>
      <c r="C47" s="4" t="s">
        <v>141</v>
      </c>
      <c r="D47" s="3">
        <v>45847</v>
      </c>
      <c r="E47" s="4">
        <v>3</v>
      </c>
      <c r="F47" s="4">
        <v>2025</v>
      </c>
      <c r="G47" s="4">
        <v>7</v>
      </c>
      <c r="H47" s="4" t="s">
        <v>48</v>
      </c>
      <c r="I47" s="4" t="s">
        <v>262</v>
      </c>
      <c r="J47" s="8">
        <v>2</v>
      </c>
      <c r="K47" s="6">
        <v>705</v>
      </c>
      <c r="L47" s="4" t="s">
        <v>37</v>
      </c>
      <c r="M47" s="4" t="s">
        <v>19</v>
      </c>
      <c r="N47" s="6">
        <v>1411</v>
      </c>
    </row>
    <row r="48" spans="1:14" x14ac:dyDescent="0.25">
      <c r="A48" s="4">
        <v>147</v>
      </c>
      <c r="B48" s="4" t="s">
        <v>142</v>
      </c>
      <c r="C48" s="4" t="s">
        <v>143</v>
      </c>
      <c r="D48" s="3">
        <v>45778</v>
      </c>
      <c r="E48" s="4">
        <v>2</v>
      </c>
      <c r="F48" s="4">
        <v>2025</v>
      </c>
      <c r="G48" s="4">
        <v>5</v>
      </c>
      <c r="H48" s="4" t="s">
        <v>144</v>
      </c>
      <c r="I48" s="4" t="s">
        <v>57</v>
      </c>
      <c r="J48" s="8">
        <v>4</v>
      </c>
      <c r="K48" s="6">
        <v>596</v>
      </c>
      <c r="L48" s="4" t="s">
        <v>260</v>
      </c>
      <c r="M48" s="4" t="s">
        <v>12</v>
      </c>
      <c r="N48" s="6">
        <v>2385</v>
      </c>
    </row>
    <row r="49" spans="1:14" x14ac:dyDescent="0.25">
      <c r="A49" s="4">
        <v>148</v>
      </c>
      <c r="B49" s="4" t="s">
        <v>145</v>
      </c>
      <c r="C49" s="4" t="s">
        <v>146</v>
      </c>
      <c r="D49" s="3">
        <v>45729</v>
      </c>
      <c r="E49" s="4">
        <v>1</v>
      </c>
      <c r="F49" s="4">
        <v>2025</v>
      </c>
      <c r="G49" s="4">
        <v>3</v>
      </c>
      <c r="H49" s="4" t="s">
        <v>22</v>
      </c>
      <c r="I49" s="4" t="s">
        <v>23</v>
      </c>
      <c r="J49" s="8">
        <v>1</v>
      </c>
      <c r="K49" s="6">
        <v>661</v>
      </c>
      <c r="L49" s="4" t="s">
        <v>260</v>
      </c>
      <c r="M49" s="4" t="s">
        <v>40</v>
      </c>
      <c r="N49" s="6">
        <v>661</v>
      </c>
    </row>
    <row r="50" spans="1:14" x14ac:dyDescent="0.25">
      <c r="A50" s="4">
        <v>149</v>
      </c>
      <c r="B50" s="4" t="s">
        <v>147</v>
      </c>
      <c r="C50" s="4" t="s">
        <v>148</v>
      </c>
      <c r="D50" s="3">
        <v>45837</v>
      </c>
      <c r="E50" s="4">
        <v>2</v>
      </c>
      <c r="F50" s="4">
        <v>2025</v>
      </c>
      <c r="G50" s="4">
        <v>6</v>
      </c>
      <c r="H50" s="4" t="s">
        <v>53</v>
      </c>
      <c r="I50" s="4" t="s">
        <v>28</v>
      </c>
      <c r="J50" s="8">
        <v>5</v>
      </c>
      <c r="K50" s="6">
        <v>896</v>
      </c>
      <c r="L50" s="4" t="s">
        <v>37</v>
      </c>
      <c r="M50" s="4" t="s">
        <v>34</v>
      </c>
      <c r="N50" s="6">
        <v>4482</v>
      </c>
    </row>
    <row r="51" spans="1:14" x14ac:dyDescent="0.25">
      <c r="A51" s="4">
        <v>150</v>
      </c>
      <c r="B51" s="4" t="s">
        <v>149</v>
      </c>
      <c r="C51" s="4" t="s">
        <v>150</v>
      </c>
      <c r="D51" s="3">
        <v>45623</v>
      </c>
      <c r="E51" s="4">
        <v>4</v>
      </c>
      <c r="F51" s="4">
        <v>2024</v>
      </c>
      <c r="G51" s="4">
        <v>11</v>
      </c>
      <c r="H51" s="4" t="s">
        <v>78</v>
      </c>
      <c r="I51" s="4" t="s">
        <v>23</v>
      </c>
      <c r="J51" s="8">
        <v>1</v>
      </c>
      <c r="K51" s="6">
        <v>206</v>
      </c>
      <c r="L51" s="4" t="s">
        <v>45</v>
      </c>
      <c r="M51" s="4" t="s">
        <v>40</v>
      </c>
      <c r="N51" s="6">
        <v>206</v>
      </c>
    </row>
    <row r="52" spans="1:14" x14ac:dyDescent="0.25">
      <c r="A52" s="4">
        <v>151</v>
      </c>
      <c r="B52" s="4" t="s">
        <v>151</v>
      </c>
      <c r="C52" s="4" t="s">
        <v>152</v>
      </c>
      <c r="D52" s="3">
        <v>45839</v>
      </c>
      <c r="E52" s="4">
        <v>3</v>
      </c>
      <c r="F52" s="4">
        <v>2025</v>
      </c>
      <c r="G52" s="4">
        <v>7</v>
      </c>
      <c r="H52" s="4" t="s">
        <v>53</v>
      </c>
      <c r="I52" s="4" t="s">
        <v>28</v>
      </c>
      <c r="J52" s="8">
        <v>2</v>
      </c>
      <c r="K52" s="6">
        <v>457</v>
      </c>
      <c r="L52" s="4" t="s">
        <v>261</v>
      </c>
      <c r="M52" s="4" t="s">
        <v>19</v>
      </c>
      <c r="N52" s="6">
        <v>640</v>
      </c>
    </row>
    <row r="53" spans="1:14" x14ac:dyDescent="0.25">
      <c r="A53" s="4">
        <v>152</v>
      </c>
      <c r="B53" s="4" t="s">
        <v>153</v>
      </c>
      <c r="C53" s="4" t="s">
        <v>154</v>
      </c>
      <c r="D53" s="3">
        <v>45922</v>
      </c>
      <c r="E53" s="4">
        <v>3</v>
      </c>
      <c r="F53" s="4">
        <v>2025</v>
      </c>
      <c r="G53" s="4">
        <v>9</v>
      </c>
      <c r="H53" s="4" t="s">
        <v>98</v>
      </c>
      <c r="I53" s="4" t="s">
        <v>10</v>
      </c>
      <c r="J53" s="8">
        <v>3</v>
      </c>
      <c r="K53" s="6">
        <v>233</v>
      </c>
      <c r="L53" s="4" t="s">
        <v>261</v>
      </c>
      <c r="M53" s="4" t="s">
        <v>40</v>
      </c>
      <c r="N53" s="6">
        <v>699</v>
      </c>
    </row>
    <row r="54" spans="1:14" x14ac:dyDescent="0.25">
      <c r="A54" s="4">
        <v>153</v>
      </c>
      <c r="B54" s="4" t="s">
        <v>155</v>
      </c>
      <c r="C54" s="4" t="s">
        <v>156</v>
      </c>
      <c r="D54" s="3">
        <v>45854</v>
      </c>
      <c r="E54" s="4">
        <v>3</v>
      </c>
      <c r="F54" s="4">
        <v>2025</v>
      </c>
      <c r="G54" s="4">
        <v>7</v>
      </c>
      <c r="H54" s="4" t="s">
        <v>78</v>
      </c>
      <c r="I54" s="4" t="s">
        <v>23</v>
      </c>
      <c r="J54" s="8">
        <v>4</v>
      </c>
      <c r="K54" s="6">
        <v>279</v>
      </c>
      <c r="L54" s="4" t="s">
        <v>260</v>
      </c>
      <c r="M54" s="4" t="s">
        <v>19</v>
      </c>
      <c r="N54" s="6">
        <v>1116</v>
      </c>
    </row>
    <row r="55" spans="1:14" x14ac:dyDescent="0.25">
      <c r="A55" s="4">
        <v>154</v>
      </c>
      <c r="B55" s="4" t="s">
        <v>157</v>
      </c>
      <c r="C55" s="4" t="s">
        <v>158</v>
      </c>
      <c r="D55" s="3">
        <v>45709</v>
      </c>
      <c r="E55" s="4">
        <v>1</v>
      </c>
      <c r="F55" s="4">
        <v>2025</v>
      </c>
      <c r="G55" s="4">
        <v>2</v>
      </c>
      <c r="H55" s="4" t="s">
        <v>9</v>
      </c>
      <c r="I55" s="4" t="s">
        <v>10</v>
      </c>
      <c r="J55" s="8">
        <v>5</v>
      </c>
      <c r="K55" s="6">
        <v>790</v>
      </c>
      <c r="L55" s="4" t="s">
        <v>260</v>
      </c>
      <c r="M55" s="4" t="s">
        <v>34</v>
      </c>
      <c r="N55" s="6">
        <v>3948</v>
      </c>
    </row>
    <row r="56" spans="1:14" x14ac:dyDescent="0.25">
      <c r="A56" s="4">
        <v>155</v>
      </c>
      <c r="B56" s="4" t="s">
        <v>159</v>
      </c>
      <c r="C56" s="4" t="s">
        <v>160</v>
      </c>
      <c r="D56" s="3">
        <v>45778</v>
      </c>
      <c r="E56" s="4">
        <v>2</v>
      </c>
      <c r="F56" s="4">
        <v>2025</v>
      </c>
      <c r="G56" s="4">
        <v>5</v>
      </c>
      <c r="H56" s="4" t="s">
        <v>56</v>
      </c>
      <c r="I56" s="4" t="s">
        <v>57</v>
      </c>
      <c r="J56" s="8">
        <v>1</v>
      </c>
      <c r="K56" s="6">
        <v>41</v>
      </c>
      <c r="L56" s="4" t="s">
        <v>261</v>
      </c>
      <c r="M56" s="4" t="s">
        <v>40</v>
      </c>
      <c r="N56" s="6">
        <v>41</v>
      </c>
    </row>
    <row r="57" spans="1:14" x14ac:dyDescent="0.25">
      <c r="A57" s="4">
        <v>156</v>
      </c>
      <c r="B57" s="4" t="s">
        <v>162</v>
      </c>
      <c r="C57" s="4" t="s">
        <v>163</v>
      </c>
      <c r="D57" s="3">
        <v>45624</v>
      </c>
      <c r="E57" s="4">
        <v>4</v>
      </c>
      <c r="F57" s="4">
        <v>2024</v>
      </c>
      <c r="G57" s="4">
        <v>11</v>
      </c>
      <c r="H57" s="4" t="s">
        <v>164</v>
      </c>
      <c r="I57" s="4" t="s">
        <v>57</v>
      </c>
      <c r="J57" s="8">
        <v>2</v>
      </c>
      <c r="K57" s="6">
        <v>41</v>
      </c>
      <c r="L57" s="4" t="s">
        <v>37</v>
      </c>
      <c r="M57" s="4" t="s">
        <v>12</v>
      </c>
      <c r="N57" s="6">
        <v>41</v>
      </c>
    </row>
    <row r="58" spans="1:14" x14ac:dyDescent="0.25">
      <c r="A58" s="4">
        <v>157</v>
      </c>
      <c r="B58" s="4" t="s">
        <v>165</v>
      </c>
      <c r="C58" s="4" t="s">
        <v>166</v>
      </c>
      <c r="D58" s="3">
        <v>45967</v>
      </c>
      <c r="E58" s="4">
        <v>4</v>
      </c>
      <c r="F58" s="4">
        <v>2025</v>
      </c>
      <c r="G58" s="4">
        <v>11</v>
      </c>
      <c r="H58" s="4" t="s">
        <v>144</v>
      </c>
      <c r="I58" s="4" t="s">
        <v>57</v>
      </c>
      <c r="J58" s="8">
        <v>4</v>
      </c>
      <c r="K58" s="6">
        <v>275</v>
      </c>
      <c r="L58" s="4" t="s">
        <v>37</v>
      </c>
      <c r="M58" s="4" t="s">
        <v>19</v>
      </c>
      <c r="N58" s="6">
        <v>1100</v>
      </c>
    </row>
    <row r="59" spans="1:14" x14ac:dyDescent="0.25">
      <c r="A59" s="4">
        <v>158</v>
      </c>
      <c r="B59" s="4" t="s">
        <v>167</v>
      </c>
      <c r="C59" s="4" t="s">
        <v>168</v>
      </c>
      <c r="D59" s="3">
        <v>45752</v>
      </c>
      <c r="E59" s="4">
        <v>2</v>
      </c>
      <c r="F59" s="4">
        <v>2025</v>
      </c>
      <c r="G59" s="4">
        <v>4</v>
      </c>
      <c r="H59" s="4" t="s">
        <v>116</v>
      </c>
      <c r="I59" s="4" t="s">
        <v>16</v>
      </c>
      <c r="J59" s="8">
        <v>1</v>
      </c>
      <c r="K59" s="6">
        <v>934</v>
      </c>
      <c r="L59" s="4" t="s">
        <v>260</v>
      </c>
      <c r="M59" s="4" t="s">
        <v>12</v>
      </c>
      <c r="N59" s="6">
        <v>934</v>
      </c>
    </row>
    <row r="60" spans="1:14" x14ac:dyDescent="0.25">
      <c r="A60" s="4">
        <v>159</v>
      </c>
      <c r="B60" s="4" t="s">
        <v>169</v>
      </c>
      <c r="C60" s="4" t="s">
        <v>170</v>
      </c>
      <c r="D60" s="3">
        <v>45866</v>
      </c>
      <c r="E60" s="4">
        <v>3</v>
      </c>
      <c r="F60" s="4">
        <v>2025</v>
      </c>
      <c r="G60" s="4">
        <v>7</v>
      </c>
      <c r="H60" s="4" t="s">
        <v>68</v>
      </c>
      <c r="I60" s="4" t="s">
        <v>10</v>
      </c>
      <c r="J60" s="8">
        <v>3</v>
      </c>
      <c r="K60" s="6">
        <v>163</v>
      </c>
      <c r="L60" s="4" t="s">
        <v>261</v>
      </c>
      <c r="M60" s="4" t="s">
        <v>12</v>
      </c>
      <c r="N60" s="6">
        <v>489</v>
      </c>
    </row>
    <row r="61" spans="1:14" x14ac:dyDescent="0.25">
      <c r="A61" s="4">
        <v>160</v>
      </c>
      <c r="B61" s="4" t="s">
        <v>171</v>
      </c>
      <c r="C61" s="4" t="s">
        <v>172</v>
      </c>
      <c r="D61" s="3">
        <v>45660</v>
      </c>
      <c r="E61" s="4">
        <v>1</v>
      </c>
      <c r="F61" s="4">
        <v>2025</v>
      </c>
      <c r="G61" s="4">
        <v>1</v>
      </c>
      <c r="H61" s="4" t="s">
        <v>27</v>
      </c>
      <c r="I61" s="4" t="s">
        <v>28</v>
      </c>
      <c r="J61" s="8">
        <v>5</v>
      </c>
      <c r="K61" s="6">
        <v>243</v>
      </c>
      <c r="L61" s="4" t="s">
        <v>260</v>
      </c>
      <c r="M61" s="4" t="s">
        <v>40</v>
      </c>
      <c r="N61" s="6">
        <v>1213</v>
      </c>
    </row>
    <row r="62" spans="1:14" x14ac:dyDescent="0.25">
      <c r="A62" s="4">
        <v>161</v>
      </c>
      <c r="B62" s="4" t="s">
        <v>173</v>
      </c>
      <c r="C62" s="4" t="s">
        <v>174</v>
      </c>
      <c r="D62" s="3">
        <v>45641</v>
      </c>
      <c r="E62" s="4">
        <v>4</v>
      </c>
      <c r="F62" s="4">
        <v>2024</v>
      </c>
      <c r="G62" s="4">
        <v>12</v>
      </c>
      <c r="H62" s="4" t="s">
        <v>27</v>
      </c>
      <c r="I62" s="4" t="s">
        <v>28</v>
      </c>
      <c r="J62" s="8">
        <v>4</v>
      </c>
      <c r="K62" s="6">
        <v>209</v>
      </c>
      <c r="L62" s="4" t="s">
        <v>37</v>
      </c>
      <c r="M62" s="4" t="s">
        <v>12</v>
      </c>
      <c r="N62" s="6">
        <v>837</v>
      </c>
    </row>
    <row r="63" spans="1:14" x14ac:dyDescent="0.25">
      <c r="A63" s="4">
        <v>162</v>
      </c>
      <c r="B63" s="4" t="s">
        <v>175</v>
      </c>
      <c r="C63" s="4" t="s">
        <v>176</v>
      </c>
      <c r="D63" s="3">
        <v>45796</v>
      </c>
      <c r="E63" s="4">
        <v>2</v>
      </c>
      <c r="F63" s="4">
        <v>2025</v>
      </c>
      <c r="G63" s="4">
        <v>5</v>
      </c>
      <c r="H63" s="4" t="s">
        <v>9</v>
      </c>
      <c r="I63" s="4" t="s">
        <v>10</v>
      </c>
      <c r="J63" s="8">
        <v>2</v>
      </c>
      <c r="K63" s="6">
        <v>156</v>
      </c>
      <c r="L63" s="4" t="s">
        <v>45</v>
      </c>
      <c r="M63" s="4" t="s">
        <v>40</v>
      </c>
      <c r="N63" s="6">
        <v>312</v>
      </c>
    </row>
    <row r="64" spans="1:14" x14ac:dyDescent="0.25">
      <c r="A64" s="4">
        <v>163</v>
      </c>
      <c r="B64" s="4" t="s">
        <v>177</v>
      </c>
      <c r="C64" s="4" t="s">
        <v>178</v>
      </c>
      <c r="D64" s="3">
        <v>44931</v>
      </c>
      <c r="E64" s="4">
        <v>1</v>
      </c>
      <c r="F64" s="4">
        <v>2023</v>
      </c>
      <c r="G64" s="4">
        <v>1</v>
      </c>
      <c r="H64" s="4" t="s">
        <v>116</v>
      </c>
      <c r="I64" s="4" t="s">
        <v>16</v>
      </c>
      <c r="J64" s="8">
        <v>3</v>
      </c>
      <c r="K64" s="6">
        <v>235</v>
      </c>
      <c r="L64" s="4" t="s">
        <v>260</v>
      </c>
      <c r="M64" s="4" t="s">
        <v>12</v>
      </c>
      <c r="N64" s="6">
        <v>706</v>
      </c>
    </row>
    <row r="65" spans="1:14" x14ac:dyDescent="0.25">
      <c r="A65" s="4">
        <v>164</v>
      </c>
      <c r="B65" s="4" t="s">
        <v>179</v>
      </c>
      <c r="C65" s="4" t="s">
        <v>180</v>
      </c>
      <c r="D65" s="3">
        <v>45697</v>
      </c>
      <c r="E65" s="4">
        <v>1</v>
      </c>
      <c r="F65" s="4">
        <v>2025</v>
      </c>
      <c r="G65" s="4">
        <v>2</v>
      </c>
      <c r="H65" s="4" t="s">
        <v>22</v>
      </c>
      <c r="I65" s="4" t="s">
        <v>23</v>
      </c>
      <c r="J65" s="8">
        <v>3</v>
      </c>
      <c r="K65" s="6">
        <v>588</v>
      </c>
      <c r="L65" s="4" t="s">
        <v>45</v>
      </c>
      <c r="M65" s="4" t="s">
        <v>40</v>
      </c>
      <c r="N65" s="6">
        <v>706</v>
      </c>
    </row>
    <row r="66" spans="1:14" x14ac:dyDescent="0.25">
      <c r="A66" s="4">
        <v>165</v>
      </c>
      <c r="B66" s="4" t="s">
        <v>181</v>
      </c>
      <c r="C66" s="4" t="s">
        <v>182</v>
      </c>
      <c r="D66" s="3">
        <v>45604</v>
      </c>
      <c r="E66" s="4">
        <v>4</v>
      </c>
      <c r="F66" s="4">
        <v>2024</v>
      </c>
      <c r="G66" s="4">
        <v>11</v>
      </c>
      <c r="H66" s="4" t="s">
        <v>56</v>
      </c>
      <c r="I66" s="4" t="s">
        <v>57</v>
      </c>
      <c r="J66" s="8">
        <v>2</v>
      </c>
      <c r="K66" s="6">
        <v>443</v>
      </c>
      <c r="L66" s="4" t="s">
        <v>45</v>
      </c>
      <c r="M66" s="4" t="s">
        <v>24</v>
      </c>
      <c r="N66" s="6">
        <v>886</v>
      </c>
    </row>
    <row r="67" spans="1:14" x14ac:dyDescent="0.25">
      <c r="A67" s="4">
        <v>166</v>
      </c>
      <c r="B67" s="4" t="s">
        <v>183</v>
      </c>
      <c r="C67" s="4" t="s">
        <v>184</v>
      </c>
      <c r="D67" s="3">
        <v>45841</v>
      </c>
      <c r="E67" s="4">
        <v>3</v>
      </c>
      <c r="F67" s="4">
        <v>2025</v>
      </c>
      <c r="G67" s="4">
        <v>7</v>
      </c>
      <c r="H67" s="4" t="s">
        <v>264</v>
      </c>
      <c r="I67" s="4" t="s">
        <v>16</v>
      </c>
      <c r="J67" s="8">
        <v>2</v>
      </c>
      <c r="K67" s="6">
        <v>569</v>
      </c>
      <c r="L67" s="4" t="s">
        <v>260</v>
      </c>
      <c r="M67" s="4" t="s">
        <v>12</v>
      </c>
      <c r="N67" s="6">
        <v>1139</v>
      </c>
    </row>
    <row r="68" spans="1:14" x14ac:dyDescent="0.25">
      <c r="A68" s="4">
        <v>167</v>
      </c>
      <c r="B68" s="4" t="s">
        <v>185</v>
      </c>
      <c r="C68" s="4" t="s">
        <v>186</v>
      </c>
      <c r="D68" s="3">
        <v>45876</v>
      </c>
      <c r="E68" s="4">
        <v>3</v>
      </c>
      <c r="F68" s="4">
        <v>2025</v>
      </c>
      <c r="G68" s="4">
        <v>8</v>
      </c>
      <c r="H68" s="4" t="s">
        <v>48</v>
      </c>
      <c r="I68" s="4" t="s">
        <v>23</v>
      </c>
      <c r="J68" s="8">
        <v>2</v>
      </c>
      <c r="K68" s="6">
        <v>594</v>
      </c>
      <c r="L68" s="4" t="s">
        <v>260</v>
      </c>
      <c r="M68" s="4" t="s">
        <v>19</v>
      </c>
      <c r="N68" s="6">
        <v>1139</v>
      </c>
    </row>
    <row r="69" spans="1:14" x14ac:dyDescent="0.25">
      <c r="A69" s="4">
        <v>168</v>
      </c>
      <c r="B69" s="4" t="s">
        <v>187</v>
      </c>
      <c r="C69" s="4" t="s">
        <v>188</v>
      </c>
      <c r="D69" s="3">
        <v>45965</v>
      </c>
      <c r="E69" s="4">
        <v>4</v>
      </c>
      <c r="F69" s="4">
        <v>2025</v>
      </c>
      <c r="G69" s="4">
        <v>11</v>
      </c>
      <c r="H69" s="4" t="s">
        <v>31</v>
      </c>
      <c r="I69" s="4" t="s">
        <v>28</v>
      </c>
      <c r="J69" s="8">
        <v>2</v>
      </c>
      <c r="K69" s="6">
        <v>141</v>
      </c>
      <c r="L69" s="4" t="s">
        <v>261</v>
      </c>
      <c r="M69" s="4" t="s">
        <v>34</v>
      </c>
      <c r="N69" s="6">
        <v>283</v>
      </c>
    </row>
    <row r="70" spans="1:14" x14ac:dyDescent="0.25">
      <c r="A70" s="4">
        <v>169</v>
      </c>
      <c r="B70" s="4" t="s">
        <v>189</v>
      </c>
      <c r="C70" s="4" t="s">
        <v>190</v>
      </c>
      <c r="D70" s="3">
        <v>45881</v>
      </c>
      <c r="E70" s="4">
        <v>3</v>
      </c>
      <c r="F70" s="4">
        <v>2025</v>
      </c>
      <c r="G70" s="4">
        <v>8</v>
      </c>
      <c r="H70" s="4" t="s">
        <v>48</v>
      </c>
      <c r="I70" s="4" t="s">
        <v>23</v>
      </c>
      <c r="J70" s="8">
        <v>1</v>
      </c>
      <c r="K70" s="6">
        <v>582</v>
      </c>
      <c r="L70" s="4" t="s">
        <v>45</v>
      </c>
      <c r="M70" s="4" t="s">
        <v>40</v>
      </c>
      <c r="N70" s="6">
        <v>582</v>
      </c>
    </row>
    <row r="71" spans="1:14" x14ac:dyDescent="0.25">
      <c r="A71" s="4">
        <v>170</v>
      </c>
      <c r="B71" s="4" t="s">
        <v>191</v>
      </c>
      <c r="C71" s="4" t="s">
        <v>192</v>
      </c>
      <c r="D71" s="3">
        <v>45933</v>
      </c>
      <c r="E71" s="4">
        <v>4</v>
      </c>
      <c r="F71" s="4">
        <v>2025</v>
      </c>
      <c r="G71" s="4">
        <v>10</v>
      </c>
      <c r="H71" s="4" t="s">
        <v>164</v>
      </c>
      <c r="I71" s="4" t="s">
        <v>57</v>
      </c>
      <c r="J71" s="8">
        <v>5</v>
      </c>
      <c r="K71" s="6">
        <v>742</v>
      </c>
      <c r="L71" s="4" t="s">
        <v>37</v>
      </c>
      <c r="M71" s="4" t="s">
        <v>19</v>
      </c>
      <c r="N71" s="6">
        <v>3708</v>
      </c>
    </row>
    <row r="72" spans="1:14" x14ac:dyDescent="0.25">
      <c r="A72" s="4">
        <v>171</v>
      </c>
      <c r="B72" s="4" t="s">
        <v>193</v>
      </c>
      <c r="C72" s="4" t="s">
        <v>194</v>
      </c>
      <c r="D72" s="3">
        <v>45632</v>
      </c>
      <c r="E72" s="4">
        <v>4</v>
      </c>
      <c r="F72" s="4">
        <v>2024</v>
      </c>
      <c r="G72" s="4">
        <v>12</v>
      </c>
      <c r="H72" s="4" t="s">
        <v>56</v>
      </c>
      <c r="I72" s="4" t="s">
        <v>57</v>
      </c>
      <c r="J72" s="8">
        <v>3</v>
      </c>
      <c r="K72" s="6">
        <v>689</v>
      </c>
      <c r="L72" s="4" t="s">
        <v>261</v>
      </c>
      <c r="M72" s="4" t="s">
        <v>19</v>
      </c>
      <c r="N72" s="6">
        <v>2066</v>
      </c>
    </row>
    <row r="73" spans="1:14" x14ac:dyDescent="0.25">
      <c r="A73" s="4">
        <v>172</v>
      </c>
      <c r="B73" s="4" t="s">
        <v>195</v>
      </c>
      <c r="C73" s="4" t="s">
        <v>196</v>
      </c>
      <c r="D73" s="3">
        <v>45614</v>
      </c>
      <c r="E73" s="4">
        <v>4</v>
      </c>
      <c r="F73" s="4">
        <v>2024</v>
      </c>
      <c r="G73" s="4">
        <v>11</v>
      </c>
      <c r="H73" s="4" t="s">
        <v>53</v>
      </c>
      <c r="I73" s="4" t="s">
        <v>28</v>
      </c>
      <c r="J73" s="8">
        <v>2</v>
      </c>
      <c r="K73" s="6">
        <v>943</v>
      </c>
      <c r="L73" s="4" t="s">
        <v>37</v>
      </c>
      <c r="M73" s="4" t="s">
        <v>40</v>
      </c>
      <c r="N73" s="6">
        <v>1886</v>
      </c>
    </row>
    <row r="74" spans="1:14" x14ac:dyDescent="0.25">
      <c r="A74" s="4">
        <v>173</v>
      </c>
      <c r="B74" s="4" t="s">
        <v>197</v>
      </c>
      <c r="C74" s="4" t="s">
        <v>198</v>
      </c>
      <c r="D74" s="3">
        <v>45941</v>
      </c>
      <c r="E74" s="4">
        <v>4</v>
      </c>
      <c r="F74" s="4">
        <v>2025</v>
      </c>
      <c r="G74" s="4">
        <v>10</v>
      </c>
      <c r="H74" s="4" t="s">
        <v>98</v>
      </c>
      <c r="I74" s="4" t="s">
        <v>10</v>
      </c>
      <c r="J74" s="8">
        <v>5</v>
      </c>
      <c r="K74" s="6">
        <v>352</v>
      </c>
      <c r="L74" s="4" t="s">
        <v>45</v>
      </c>
      <c r="M74" s="4" t="s">
        <v>12</v>
      </c>
      <c r="N74" s="6">
        <v>1759</v>
      </c>
    </row>
    <row r="75" spans="1:14" x14ac:dyDescent="0.25">
      <c r="A75" s="4">
        <v>174</v>
      </c>
      <c r="B75" s="4" t="s">
        <v>199</v>
      </c>
      <c r="C75" s="4" t="s">
        <v>200</v>
      </c>
      <c r="D75" s="3">
        <v>45920</v>
      </c>
      <c r="E75" s="4">
        <v>3</v>
      </c>
      <c r="F75" s="4">
        <v>2025</v>
      </c>
      <c r="G75" s="4">
        <v>9</v>
      </c>
      <c r="H75" s="4" t="s">
        <v>68</v>
      </c>
      <c r="I75" s="4" t="s">
        <v>16</v>
      </c>
      <c r="J75" s="8">
        <v>4</v>
      </c>
      <c r="K75" s="6">
        <v>187</v>
      </c>
      <c r="L75" s="4" t="s">
        <v>45</v>
      </c>
      <c r="M75" s="4" t="s">
        <v>40</v>
      </c>
      <c r="N75" s="6">
        <v>750</v>
      </c>
    </row>
    <row r="76" spans="1:14" x14ac:dyDescent="0.25">
      <c r="A76" s="4">
        <v>175</v>
      </c>
      <c r="B76" s="4" t="s">
        <v>201</v>
      </c>
      <c r="C76" s="4" t="s">
        <v>202</v>
      </c>
      <c r="D76" s="3">
        <v>45712</v>
      </c>
      <c r="E76" s="4">
        <v>1</v>
      </c>
      <c r="F76" s="4">
        <v>2025</v>
      </c>
      <c r="G76" s="4">
        <v>2</v>
      </c>
      <c r="H76" s="4" t="s">
        <v>119</v>
      </c>
      <c r="I76" s="4" t="s">
        <v>16</v>
      </c>
      <c r="J76" s="8">
        <v>1</v>
      </c>
      <c r="K76" s="6">
        <v>111</v>
      </c>
      <c r="L76" s="4" t="s">
        <v>45</v>
      </c>
      <c r="M76" s="4" t="s">
        <v>19</v>
      </c>
      <c r="N76" s="6">
        <v>111</v>
      </c>
    </row>
    <row r="77" spans="1:14" x14ac:dyDescent="0.25">
      <c r="A77" s="4">
        <v>175</v>
      </c>
      <c r="B77" s="4" t="s">
        <v>201</v>
      </c>
      <c r="C77" s="4" t="s">
        <v>202</v>
      </c>
      <c r="D77" s="3">
        <v>45712</v>
      </c>
      <c r="E77" s="4">
        <v>1</v>
      </c>
      <c r="F77" s="4">
        <v>2025</v>
      </c>
      <c r="G77" s="4">
        <v>2</v>
      </c>
      <c r="H77" s="4" t="s">
        <v>119</v>
      </c>
      <c r="I77" s="4" t="s">
        <v>16</v>
      </c>
      <c r="J77" s="8">
        <v>1</v>
      </c>
      <c r="K77" s="6">
        <v>111</v>
      </c>
      <c r="L77" s="4" t="s">
        <v>45</v>
      </c>
      <c r="M77" s="4" t="s">
        <v>19</v>
      </c>
      <c r="N77" s="6">
        <v>78</v>
      </c>
    </row>
    <row r="78" spans="1:14" x14ac:dyDescent="0.25">
      <c r="A78" s="4">
        <v>176</v>
      </c>
      <c r="B78" s="4" t="s">
        <v>203</v>
      </c>
      <c r="C78" s="4" t="s">
        <v>204</v>
      </c>
      <c r="D78" s="3">
        <v>45860</v>
      </c>
      <c r="E78" s="4">
        <v>3</v>
      </c>
      <c r="F78" s="4">
        <v>2025</v>
      </c>
      <c r="G78" s="4">
        <v>7</v>
      </c>
      <c r="H78" s="4" t="s">
        <v>53</v>
      </c>
      <c r="I78" s="4" t="s">
        <v>28</v>
      </c>
      <c r="J78" s="8">
        <v>5</v>
      </c>
      <c r="K78" s="6">
        <v>531</v>
      </c>
      <c r="L78" s="4" t="s">
        <v>260</v>
      </c>
      <c r="M78" s="4" t="s">
        <v>12</v>
      </c>
      <c r="N78" s="6">
        <v>2653</v>
      </c>
    </row>
    <row r="79" spans="1:14" x14ac:dyDescent="0.25">
      <c r="A79" s="4">
        <v>177</v>
      </c>
      <c r="B79" s="4" t="s">
        <v>205</v>
      </c>
      <c r="C79" s="4" t="s">
        <v>206</v>
      </c>
      <c r="D79" s="3">
        <v>45866</v>
      </c>
      <c r="E79" s="4">
        <v>3</v>
      </c>
      <c r="F79" s="4">
        <v>2025</v>
      </c>
      <c r="G79" s="4">
        <v>7</v>
      </c>
      <c r="H79" s="4" t="s">
        <v>139</v>
      </c>
      <c r="I79" s="4" t="s">
        <v>16</v>
      </c>
      <c r="J79" s="8">
        <v>1</v>
      </c>
      <c r="K79" s="6">
        <v>69</v>
      </c>
      <c r="L79" s="4" t="s">
        <v>37</v>
      </c>
      <c r="M79" s="4" t="s">
        <v>40</v>
      </c>
      <c r="N79" s="6">
        <v>69</v>
      </c>
    </row>
    <row r="80" spans="1:14" x14ac:dyDescent="0.25">
      <c r="A80" s="4">
        <v>178</v>
      </c>
      <c r="B80" s="4" t="s">
        <v>207</v>
      </c>
      <c r="C80" s="4" t="s">
        <v>208</v>
      </c>
      <c r="D80" s="3">
        <v>45918</v>
      </c>
      <c r="E80" s="4">
        <v>3</v>
      </c>
      <c r="F80" s="4">
        <v>2025</v>
      </c>
      <c r="G80" s="4">
        <v>9</v>
      </c>
      <c r="H80" s="4" t="s">
        <v>22</v>
      </c>
      <c r="I80" s="4" t="s">
        <v>23</v>
      </c>
      <c r="J80" s="8">
        <v>3</v>
      </c>
      <c r="K80" s="6">
        <v>472</v>
      </c>
      <c r="L80" s="4" t="s">
        <v>261</v>
      </c>
      <c r="M80" s="4" t="s">
        <v>40</v>
      </c>
      <c r="N80" s="6">
        <v>1416</v>
      </c>
    </row>
    <row r="81" spans="1:14" x14ac:dyDescent="0.25">
      <c r="A81" s="4">
        <v>179</v>
      </c>
      <c r="B81" s="4" t="s">
        <v>209</v>
      </c>
      <c r="C81" s="4" t="s">
        <v>210</v>
      </c>
      <c r="D81" s="3">
        <v>45903</v>
      </c>
      <c r="E81" s="4">
        <v>3</v>
      </c>
      <c r="F81" s="4">
        <v>2025</v>
      </c>
      <c r="G81" s="4">
        <v>9</v>
      </c>
      <c r="H81" s="4" t="s">
        <v>78</v>
      </c>
      <c r="I81" s="4" t="s">
        <v>23</v>
      </c>
      <c r="J81" s="8">
        <v>3</v>
      </c>
      <c r="K81" s="6">
        <v>869</v>
      </c>
      <c r="L81" s="4" t="s">
        <v>261</v>
      </c>
      <c r="M81" s="4" t="s">
        <v>24</v>
      </c>
      <c r="N81" s="6">
        <v>2606</v>
      </c>
    </row>
    <row r="82" spans="1:14" x14ac:dyDescent="0.25">
      <c r="A82" s="4">
        <v>180</v>
      </c>
      <c r="B82" s="4" t="s">
        <v>211</v>
      </c>
      <c r="C82" s="4" t="s">
        <v>212</v>
      </c>
      <c r="D82" s="3">
        <v>45742</v>
      </c>
      <c r="E82" s="4">
        <v>1</v>
      </c>
      <c r="F82" s="4">
        <v>2025</v>
      </c>
      <c r="G82" s="4">
        <v>3</v>
      </c>
      <c r="H82" s="4" t="s">
        <v>139</v>
      </c>
      <c r="I82" s="4" t="s">
        <v>23</v>
      </c>
      <c r="J82" s="8">
        <v>2</v>
      </c>
      <c r="K82" s="6">
        <v>418</v>
      </c>
      <c r="L82" s="4" t="s">
        <v>45</v>
      </c>
      <c r="M82" s="4" t="s">
        <v>19</v>
      </c>
      <c r="N82" s="6">
        <v>837</v>
      </c>
    </row>
    <row r="83" spans="1:14" x14ac:dyDescent="0.25">
      <c r="A83" s="4">
        <v>181</v>
      </c>
      <c r="B83" s="4" t="s">
        <v>213</v>
      </c>
      <c r="C83" s="4" t="s">
        <v>214</v>
      </c>
      <c r="D83" s="3">
        <v>45655</v>
      </c>
      <c r="E83" s="4">
        <v>4</v>
      </c>
      <c r="F83" s="4">
        <v>2024</v>
      </c>
      <c r="G83" s="4">
        <v>12</v>
      </c>
      <c r="H83" s="4" t="s">
        <v>15</v>
      </c>
      <c r="I83" s="4" t="s">
        <v>263</v>
      </c>
      <c r="J83" s="8">
        <v>1</v>
      </c>
      <c r="K83" s="6">
        <v>266</v>
      </c>
      <c r="L83" s="4" t="s">
        <v>260</v>
      </c>
      <c r="M83" s="4" t="s">
        <v>34</v>
      </c>
      <c r="N83" s="6">
        <v>266</v>
      </c>
    </row>
    <row r="84" spans="1:14" x14ac:dyDescent="0.25">
      <c r="A84" s="4">
        <v>182</v>
      </c>
      <c r="B84" s="4" t="s">
        <v>215</v>
      </c>
      <c r="C84" s="4" t="s">
        <v>216</v>
      </c>
      <c r="D84" s="3">
        <v>45872</v>
      </c>
      <c r="E84" s="4">
        <v>3</v>
      </c>
      <c r="F84" s="4">
        <v>2025</v>
      </c>
      <c r="G84" s="4">
        <v>8</v>
      </c>
      <c r="H84" s="4" t="s">
        <v>56</v>
      </c>
      <c r="I84" s="4" t="s">
        <v>263</v>
      </c>
      <c r="J84" s="8">
        <v>4</v>
      </c>
      <c r="K84" s="6">
        <v>538</v>
      </c>
      <c r="L84" s="4" t="s">
        <v>261</v>
      </c>
      <c r="M84" s="4" t="s">
        <v>19</v>
      </c>
      <c r="N84" s="6">
        <v>2153</v>
      </c>
    </row>
    <row r="85" spans="1:14" x14ac:dyDescent="0.25">
      <c r="A85" s="4">
        <v>183</v>
      </c>
      <c r="B85" s="4" t="s">
        <v>217</v>
      </c>
      <c r="C85" s="4" t="s">
        <v>218</v>
      </c>
      <c r="D85" s="3">
        <v>45726</v>
      </c>
      <c r="E85" s="4">
        <v>1</v>
      </c>
      <c r="F85" s="4">
        <v>2025</v>
      </c>
      <c r="G85" s="4">
        <v>3</v>
      </c>
      <c r="H85" s="4" t="s">
        <v>56</v>
      </c>
      <c r="I85" s="4" t="s">
        <v>57</v>
      </c>
      <c r="J85" s="8">
        <v>5</v>
      </c>
      <c r="K85" s="6">
        <v>538</v>
      </c>
      <c r="L85" s="4" t="s">
        <v>260</v>
      </c>
      <c r="M85" s="4" t="s">
        <v>40</v>
      </c>
      <c r="N85" s="6">
        <v>2153</v>
      </c>
    </row>
    <row r="86" spans="1:14" x14ac:dyDescent="0.25">
      <c r="A86" s="4">
        <v>184</v>
      </c>
      <c r="B86" s="4" t="s">
        <v>219</v>
      </c>
      <c r="C86" s="4" t="s">
        <v>220</v>
      </c>
      <c r="D86" s="3">
        <v>45703</v>
      </c>
      <c r="E86" s="4">
        <v>1</v>
      </c>
      <c r="F86" s="4">
        <v>2025</v>
      </c>
      <c r="G86" s="4">
        <v>2</v>
      </c>
      <c r="H86" s="4" t="s">
        <v>164</v>
      </c>
      <c r="I86" s="4" t="s">
        <v>57</v>
      </c>
      <c r="J86" s="8">
        <v>4</v>
      </c>
      <c r="K86" s="6">
        <v>101</v>
      </c>
      <c r="L86" s="4" t="s">
        <v>37</v>
      </c>
      <c r="M86" s="4" t="s">
        <v>19</v>
      </c>
      <c r="N86" s="6">
        <v>405</v>
      </c>
    </row>
    <row r="87" spans="1:14" x14ac:dyDescent="0.25">
      <c r="A87" s="4">
        <v>185</v>
      </c>
      <c r="B87" s="4" t="s">
        <v>221</v>
      </c>
      <c r="C87" s="4" t="s">
        <v>222</v>
      </c>
      <c r="D87" s="3">
        <v>45883</v>
      </c>
      <c r="E87" s="4">
        <v>3</v>
      </c>
      <c r="F87" s="4">
        <v>2025</v>
      </c>
      <c r="G87" s="4">
        <v>8</v>
      </c>
      <c r="H87" s="4" t="s">
        <v>136</v>
      </c>
      <c r="I87" s="4" t="s">
        <v>23</v>
      </c>
      <c r="J87" s="8">
        <v>2</v>
      </c>
      <c r="K87" s="6">
        <v>731</v>
      </c>
      <c r="L87" s="4" t="s">
        <v>260</v>
      </c>
      <c r="M87" s="4" t="s">
        <v>34</v>
      </c>
      <c r="N87" s="6">
        <v>1023</v>
      </c>
    </row>
    <row r="88" spans="1:14" x14ac:dyDescent="0.25">
      <c r="A88" s="4">
        <v>186</v>
      </c>
      <c r="B88" s="4" t="s">
        <v>223</v>
      </c>
      <c r="C88" s="4" t="s">
        <v>224</v>
      </c>
      <c r="D88" s="3">
        <v>45936</v>
      </c>
      <c r="E88" s="4">
        <v>4</v>
      </c>
      <c r="F88" s="4">
        <v>2025</v>
      </c>
      <c r="G88" s="4">
        <v>10</v>
      </c>
      <c r="H88" s="4" t="s">
        <v>139</v>
      </c>
      <c r="I88" s="4" t="s">
        <v>16</v>
      </c>
      <c r="J88" s="8">
        <v>1</v>
      </c>
      <c r="K88" s="6">
        <v>365</v>
      </c>
      <c r="L88" s="4" t="s">
        <v>37</v>
      </c>
      <c r="M88" s="4" t="s">
        <v>24</v>
      </c>
      <c r="N88" s="6">
        <v>365</v>
      </c>
    </row>
    <row r="89" spans="1:14" x14ac:dyDescent="0.25">
      <c r="A89" s="4">
        <v>187</v>
      </c>
      <c r="B89" s="4" t="s">
        <v>225</v>
      </c>
      <c r="C89" s="4" t="s">
        <v>226</v>
      </c>
      <c r="D89" s="3">
        <v>45615</v>
      </c>
      <c r="E89" s="4">
        <v>4</v>
      </c>
      <c r="F89" s="4">
        <v>2024</v>
      </c>
      <c r="G89" s="4">
        <v>11</v>
      </c>
      <c r="H89" s="4" t="s">
        <v>15</v>
      </c>
      <c r="I89" s="4" t="s">
        <v>16</v>
      </c>
      <c r="J89" s="8">
        <v>3</v>
      </c>
      <c r="K89" s="6">
        <v>883</v>
      </c>
      <c r="L89" s="4" t="s">
        <v>37</v>
      </c>
      <c r="M89" s="4" t="s">
        <v>40</v>
      </c>
      <c r="N89" s="6">
        <v>2649</v>
      </c>
    </row>
    <row r="90" spans="1:14" x14ac:dyDescent="0.25">
      <c r="A90" s="4">
        <v>188</v>
      </c>
      <c r="B90" s="4" t="s">
        <v>227</v>
      </c>
      <c r="C90" s="4" t="s">
        <v>228</v>
      </c>
      <c r="D90" s="3">
        <v>45615</v>
      </c>
      <c r="E90" s="4">
        <v>4</v>
      </c>
      <c r="F90" s="4">
        <v>2024</v>
      </c>
      <c r="G90" s="4">
        <v>11</v>
      </c>
      <c r="H90" s="4" t="s">
        <v>68</v>
      </c>
      <c r="I90" s="4" t="s">
        <v>10</v>
      </c>
      <c r="J90" s="8">
        <v>5</v>
      </c>
      <c r="K90" s="6">
        <v>504</v>
      </c>
      <c r="L90" s="4" t="s">
        <v>260</v>
      </c>
      <c r="M90" s="4" t="s">
        <v>12</v>
      </c>
      <c r="N90" s="6">
        <v>2520</v>
      </c>
    </row>
    <row r="91" spans="1:14" x14ac:dyDescent="0.25">
      <c r="A91" s="4">
        <v>189</v>
      </c>
      <c r="B91" s="4" t="s">
        <v>229</v>
      </c>
      <c r="C91" s="4" t="s">
        <v>230</v>
      </c>
      <c r="D91" s="3">
        <v>45883</v>
      </c>
      <c r="E91" s="4">
        <v>3</v>
      </c>
      <c r="F91" s="4">
        <v>2025</v>
      </c>
      <c r="G91" s="4">
        <v>8</v>
      </c>
      <c r="H91" s="4" t="s">
        <v>98</v>
      </c>
      <c r="I91" s="4" t="s">
        <v>10</v>
      </c>
      <c r="J91" s="8">
        <v>1</v>
      </c>
      <c r="K91" s="6">
        <v>815</v>
      </c>
      <c r="L91" s="4" t="s">
        <v>260</v>
      </c>
      <c r="M91" s="4" t="s">
        <v>40</v>
      </c>
      <c r="N91" s="6">
        <v>815</v>
      </c>
    </row>
    <row r="92" spans="1:14" x14ac:dyDescent="0.25">
      <c r="A92" s="4">
        <v>190</v>
      </c>
      <c r="B92" s="4" t="s">
        <v>231</v>
      </c>
      <c r="C92" s="4" t="s">
        <v>232</v>
      </c>
      <c r="D92" s="3">
        <v>45837</v>
      </c>
      <c r="E92" s="4">
        <v>2</v>
      </c>
      <c r="F92" s="4">
        <v>2025</v>
      </c>
      <c r="G92" s="4">
        <v>6</v>
      </c>
      <c r="H92" s="4" t="s">
        <v>87</v>
      </c>
      <c r="I92" s="4" t="s">
        <v>10</v>
      </c>
      <c r="J92" s="8">
        <v>1</v>
      </c>
      <c r="K92" s="6">
        <v>920</v>
      </c>
      <c r="L92" s="4" t="s">
        <v>37</v>
      </c>
      <c r="M92" s="4" t="s">
        <v>19</v>
      </c>
      <c r="N92" s="6">
        <v>920</v>
      </c>
    </row>
    <row r="93" spans="1:14" x14ac:dyDescent="0.25">
      <c r="A93" s="4">
        <v>191</v>
      </c>
      <c r="B93" s="4" t="s">
        <v>233</v>
      </c>
      <c r="C93" s="4" t="s">
        <v>234</v>
      </c>
      <c r="D93" s="3">
        <v>45856</v>
      </c>
      <c r="E93" s="4">
        <v>3</v>
      </c>
      <c r="F93" s="4">
        <v>2025</v>
      </c>
      <c r="G93" s="4">
        <v>7</v>
      </c>
      <c r="H93" s="4" t="s">
        <v>60</v>
      </c>
      <c r="I93" s="4" t="s">
        <v>28</v>
      </c>
      <c r="J93" s="8">
        <v>2</v>
      </c>
      <c r="K93" s="6">
        <v>881</v>
      </c>
      <c r="L93" s="4" t="s">
        <v>260</v>
      </c>
      <c r="M93" s="4" t="s">
        <v>40</v>
      </c>
      <c r="N93" s="6">
        <v>1762</v>
      </c>
    </row>
    <row r="94" spans="1:14" x14ac:dyDescent="0.25">
      <c r="A94" s="4">
        <v>194</v>
      </c>
      <c r="B94" s="4" t="s">
        <v>241</v>
      </c>
      <c r="C94" s="4" t="s">
        <v>242</v>
      </c>
      <c r="D94" s="3">
        <v>45698</v>
      </c>
      <c r="E94" s="4">
        <v>1</v>
      </c>
      <c r="F94" s="4">
        <v>2025</v>
      </c>
      <c r="G94" s="4">
        <v>2</v>
      </c>
      <c r="H94" s="4" t="s">
        <v>98</v>
      </c>
      <c r="I94" s="4" t="s">
        <v>10</v>
      </c>
      <c r="J94" s="8">
        <v>5</v>
      </c>
      <c r="K94" s="6">
        <v>945</v>
      </c>
      <c r="L94" s="4" t="s">
        <v>260</v>
      </c>
      <c r="M94" s="4" t="s">
        <v>40</v>
      </c>
      <c r="N94" s="6">
        <v>4723</v>
      </c>
    </row>
    <row r="95" spans="1:14" x14ac:dyDescent="0.25">
      <c r="A95" s="4">
        <v>195</v>
      </c>
      <c r="B95" s="4" t="s">
        <v>243</v>
      </c>
      <c r="C95" s="4" t="s">
        <v>244</v>
      </c>
      <c r="D95" s="3">
        <v>45827</v>
      </c>
      <c r="E95" s="4">
        <v>2</v>
      </c>
      <c r="F95" s="4">
        <v>2025</v>
      </c>
      <c r="G95" s="4">
        <v>6</v>
      </c>
      <c r="H95" s="4" t="s">
        <v>31</v>
      </c>
      <c r="I95" s="4" t="s">
        <v>28</v>
      </c>
      <c r="J95" s="8">
        <v>5</v>
      </c>
      <c r="K95" s="6">
        <v>817</v>
      </c>
      <c r="L95" s="4" t="s">
        <v>260</v>
      </c>
      <c r="M95" s="4" t="s">
        <v>40</v>
      </c>
      <c r="N95" s="6">
        <v>4087</v>
      </c>
    </row>
    <row r="96" spans="1:14" x14ac:dyDescent="0.25">
      <c r="A96" s="4">
        <v>197</v>
      </c>
      <c r="B96" s="4" t="s">
        <v>247</v>
      </c>
      <c r="C96" s="4" t="s">
        <v>248</v>
      </c>
      <c r="D96" s="3">
        <v>45831</v>
      </c>
      <c r="E96" s="4">
        <v>2</v>
      </c>
      <c r="F96" s="4">
        <v>2025</v>
      </c>
      <c r="G96" s="4">
        <v>6</v>
      </c>
      <c r="H96" s="4" t="s">
        <v>9</v>
      </c>
      <c r="I96" s="4" t="s">
        <v>10</v>
      </c>
      <c r="J96" s="8">
        <v>1</v>
      </c>
      <c r="K96" s="6">
        <v>160</v>
      </c>
      <c r="L96" s="4" t="s">
        <v>261</v>
      </c>
      <c r="M96" s="4" t="s">
        <v>34</v>
      </c>
      <c r="N96" s="6">
        <v>160</v>
      </c>
    </row>
    <row r="97" spans="1:14" x14ac:dyDescent="0.25">
      <c r="A97" s="4">
        <v>198</v>
      </c>
      <c r="B97" s="4" t="s">
        <v>249</v>
      </c>
      <c r="C97" s="4" t="s">
        <v>250</v>
      </c>
      <c r="D97" s="3">
        <v>45865</v>
      </c>
      <c r="E97" s="4">
        <v>3</v>
      </c>
      <c r="F97" s="4">
        <v>2025</v>
      </c>
      <c r="G97" s="4">
        <v>7</v>
      </c>
      <c r="H97" s="4" t="s">
        <v>87</v>
      </c>
      <c r="I97" s="4" t="s">
        <v>10</v>
      </c>
      <c r="J97" s="8">
        <v>2</v>
      </c>
      <c r="K97" s="6">
        <v>497</v>
      </c>
      <c r="L97" s="4" t="s">
        <v>260</v>
      </c>
      <c r="M97" s="4" t="s">
        <v>12</v>
      </c>
      <c r="N97" s="6">
        <v>994</v>
      </c>
    </row>
    <row r="98" spans="1:14" x14ac:dyDescent="0.25">
      <c r="A98" s="4">
        <v>199</v>
      </c>
      <c r="B98" s="4" t="s">
        <v>251</v>
      </c>
      <c r="C98" s="4" t="s">
        <v>252</v>
      </c>
      <c r="D98" s="3">
        <v>45679</v>
      </c>
      <c r="E98" s="4">
        <v>1</v>
      </c>
      <c r="F98" s="4">
        <v>2025</v>
      </c>
      <c r="G98" s="4">
        <v>1</v>
      </c>
      <c r="H98" s="4" t="s">
        <v>9</v>
      </c>
      <c r="I98" s="4" t="s">
        <v>10</v>
      </c>
      <c r="J98" s="8">
        <v>5</v>
      </c>
      <c r="K98" s="6">
        <v>372</v>
      </c>
      <c r="L98" s="4" t="s">
        <v>45</v>
      </c>
      <c r="M98" s="4" t="s">
        <v>12</v>
      </c>
      <c r="N98" s="6">
        <v>1861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FA89D2-77D7-4DB9-ADD2-E5793D23E3DF}">
  <dimension ref="A3:M42"/>
  <sheetViews>
    <sheetView topLeftCell="A16" workbookViewId="0">
      <selection activeCell="B31" sqref="B31"/>
    </sheetView>
  </sheetViews>
  <sheetFormatPr defaultRowHeight="15" x14ac:dyDescent="0.25"/>
  <cols>
    <col min="1" max="1" width="10.85546875" bestFit="1" customWidth="1"/>
    <col min="2" max="2" width="12" bestFit="1" customWidth="1"/>
    <col min="4" max="5" width="12" bestFit="1" customWidth="1"/>
    <col min="7" max="7" width="16.140625" bestFit="1" customWidth="1"/>
    <col min="8" max="8" width="12" bestFit="1" customWidth="1"/>
    <col min="12" max="12" width="13.140625" bestFit="1" customWidth="1"/>
    <col min="13" max="13" width="12" bestFit="1" customWidth="1"/>
  </cols>
  <sheetData>
    <row r="3" spans="1:13" x14ac:dyDescent="0.25">
      <c r="A3" t="s">
        <v>268</v>
      </c>
      <c r="D3" t="s">
        <v>267</v>
      </c>
      <c r="G3" s="10" t="s">
        <v>265</v>
      </c>
      <c r="H3" t="s">
        <v>267</v>
      </c>
      <c r="L3" s="10" t="s">
        <v>265</v>
      </c>
      <c r="M3" t="s">
        <v>267</v>
      </c>
    </row>
    <row r="4" spans="1:13" x14ac:dyDescent="0.25">
      <c r="A4" s="12">
        <v>97</v>
      </c>
      <c r="D4" s="12">
        <v>166906</v>
      </c>
      <c r="G4" s="11" t="s">
        <v>37</v>
      </c>
      <c r="H4" s="12">
        <v>44966</v>
      </c>
      <c r="L4" s="13">
        <v>2023</v>
      </c>
      <c r="M4" s="12">
        <v>3254</v>
      </c>
    </row>
    <row r="5" spans="1:13" x14ac:dyDescent="0.25">
      <c r="G5" s="11" t="s">
        <v>260</v>
      </c>
      <c r="H5" s="12">
        <v>66252</v>
      </c>
      <c r="L5" s="13">
        <v>2024</v>
      </c>
      <c r="M5" s="12">
        <v>18391</v>
      </c>
    </row>
    <row r="6" spans="1:13" x14ac:dyDescent="0.25">
      <c r="A6" t="str">
        <f>A3</f>
        <v>Count of ID</v>
      </c>
      <c r="D6" t="str">
        <f>D3</f>
        <v>Sum of Total</v>
      </c>
      <c r="G6" s="11" t="s">
        <v>45</v>
      </c>
      <c r="H6" s="12">
        <v>26535</v>
      </c>
      <c r="L6" s="13">
        <v>2025</v>
      </c>
      <c r="M6" s="12">
        <v>145261</v>
      </c>
    </row>
    <row r="7" spans="1:13" x14ac:dyDescent="0.25">
      <c r="A7">
        <f>A4</f>
        <v>97</v>
      </c>
      <c r="D7">
        <f>D4</f>
        <v>166906</v>
      </c>
      <c r="G7" s="11" t="s">
        <v>261</v>
      </c>
      <c r="H7" s="12">
        <v>29153</v>
      </c>
      <c r="L7" s="13" t="s">
        <v>266</v>
      </c>
      <c r="M7" s="12">
        <v>166906</v>
      </c>
    </row>
    <row r="8" spans="1:13" x14ac:dyDescent="0.25">
      <c r="G8" s="11" t="s">
        <v>266</v>
      </c>
      <c r="H8" s="12">
        <v>166906</v>
      </c>
    </row>
    <row r="11" spans="1:13" x14ac:dyDescent="0.25">
      <c r="G11" t="str">
        <f t="shared" ref="G11:H16" si="0">G3</f>
        <v>Row Labels</v>
      </c>
      <c r="H11" t="str">
        <f t="shared" si="0"/>
        <v>Sum of Total</v>
      </c>
      <c r="L11" t="str">
        <f t="shared" ref="L11:M15" si="1">L3</f>
        <v>Row Labels</v>
      </c>
      <c r="M11" t="str">
        <f t="shared" si="1"/>
        <v>Sum of Total</v>
      </c>
    </row>
    <row r="12" spans="1:13" x14ac:dyDescent="0.25">
      <c r="G12" t="str">
        <f t="shared" si="0"/>
        <v>Bank Transfer</v>
      </c>
      <c r="H12">
        <f t="shared" si="0"/>
        <v>44966</v>
      </c>
      <c r="L12">
        <f t="shared" si="1"/>
        <v>2023</v>
      </c>
      <c r="M12">
        <f t="shared" si="1"/>
        <v>3254</v>
      </c>
    </row>
    <row r="13" spans="1:13" x14ac:dyDescent="0.25">
      <c r="G13" t="str">
        <f t="shared" si="0"/>
        <v>Cash On Delivery</v>
      </c>
      <c r="H13">
        <f t="shared" si="0"/>
        <v>66252</v>
      </c>
      <c r="L13">
        <f t="shared" si="1"/>
        <v>2024</v>
      </c>
      <c r="M13">
        <f t="shared" si="1"/>
        <v>18391</v>
      </c>
    </row>
    <row r="14" spans="1:13" x14ac:dyDescent="0.25">
      <c r="G14" t="str">
        <f t="shared" si="0"/>
        <v>Credit Card</v>
      </c>
      <c r="H14">
        <f t="shared" si="0"/>
        <v>26535</v>
      </c>
      <c r="L14">
        <f t="shared" si="1"/>
        <v>2025</v>
      </c>
      <c r="M14">
        <f t="shared" si="1"/>
        <v>145261</v>
      </c>
    </row>
    <row r="15" spans="1:13" x14ac:dyDescent="0.25">
      <c r="G15" t="str">
        <f t="shared" si="0"/>
        <v>Paypal</v>
      </c>
      <c r="H15">
        <f t="shared" si="0"/>
        <v>29153</v>
      </c>
      <c r="L15" t="str">
        <f t="shared" si="1"/>
        <v>Grand Total</v>
      </c>
      <c r="M15">
        <f t="shared" si="1"/>
        <v>166906</v>
      </c>
    </row>
    <row r="16" spans="1:13" x14ac:dyDescent="0.25">
      <c r="G16" t="str">
        <f t="shared" si="0"/>
        <v>Grand Total</v>
      </c>
      <c r="H16">
        <f t="shared" si="0"/>
        <v>166906</v>
      </c>
    </row>
    <row r="21" spans="1:5" x14ac:dyDescent="0.25">
      <c r="A21" s="10" t="s">
        <v>265</v>
      </c>
      <c r="B21" t="s">
        <v>267</v>
      </c>
      <c r="D21" t="str">
        <f t="shared" ref="D21:D42" si="2">A21</f>
        <v>Row Labels</v>
      </c>
      <c r="E21" t="str">
        <f t="shared" ref="E21:E42" si="3">B21</f>
        <v>Sum of Total</v>
      </c>
    </row>
    <row r="22" spans="1:5" x14ac:dyDescent="0.25">
      <c r="A22" s="11" t="s">
        <v>48</v>
      </c>
      <c r="B22" s="12">
        <v>6977</v>
      </c>
      <c r="D22" t="str">
        <f t="shared" si="2"/>
        <v>Basketball</v>
      </c>
      <c r="E22">
        <f t="shared" si="3"/>
        <v>6977</v>
      </c>
    </row>
    <row r="23" spans="1:5" x14ac:dyDescent="0.25">
      <c r="A23" s="11" t="s">
        <v>31</v>
      </c>
      <c r="B23" s="12">
        <v>9577</v>
      </c>
      <c r="D23" t="str">
        <f t="shared" si="2"/>
        <v>Biography</v>
      </c>
      <c r="E23">
        <f t="shared" si="3"/>
        <v>9577</v>
      </c>
    </row>
    <row r="24" spans="1:5" x14ac:dyDescent="0.25">
      <c r="A24" s="11" t="s">
        <v>9</v>
      </c>
      <c r="B24" s="12">
        <v>28441</v>
      </c>
      <c r="D24" t="str">
        <f t="shared" si="2"/>
        <v>Blender</v>
      </c>
      <c r="E24">
        <f t="shared" si="3"/>
        <v>28441</v>
      </c>
    </row>
    <row r="25" spans="1:5" x14ac:dyDescent="0.25">
      <c r="A25" s="11" t="s">
        <v>53</v>
      </c>
      <c r="B25" s="12">
        <v>16304</v>
      </c>
      <c r="D25" t="str">
        <f t="shared" si="2"/>
        <v>Comics</v>
      </c>
      <c r="E25">
        <f t="shared" si="3"/>
        <v>16304</v>
      </c>
    </row>
    <row r="26" spans="1:5" x14ac:dyDescent="0.25">
      <c r="A26" s="11" t="s">
        <v>60</v>
      </c>
      <c r="B26" s="12">
        <v>7284</v>
      </c>
      <c r="D26" t="str">
        <f t="shared" si="2"/>
        <v>Fiction</v>
      </c>
      <c r="E26">
        <f t="shared" si="3"/>
        <v>7284</v>
      </c>
    </row>
    <row r="27" spans="1:5" x14ac:dyDescent="0.25">
      <c r="A27" s="11" t="s">
        <v>136</v>
      </c>
      <c r="B27" s="12">
        <v>5268</v>
      </c>
      <c r="D27" t="str">
        <f t="shared" si="2"/>
        <v>Football</v>
      </c>
      <c r="E27">
        <f t="shared" si="3"/>
        <v>5268</v>
      </c>
    </row>
    <row r="28" spans="1:5" x14ac:dyDescent="0.25">
      <c r="A28" s="11" t="s">
        <v>119</v>
      </c>
      <c r="B28" s="12">
        <v>886</v>
      </c>
      <c r="D28" t="str">
        <f t="shared" si="2"/>
        <v>Headphones</v>
      </c>
      <c r="E28">
        <f t="shared" si="3"/>
        <v>886</v>
      </c>
    </row>
    <row r="29" spans="1:5" x14ac:dyDescent="0.25">
      <c r="A29" s="11" t="s">
        <v>144</v>
      </c>
      <c r="B29" s="12">
        <v>3485</v>
      </c>
      <c r="D29" t="str">
        <f t="shared" si="2"/>
        <v>Jacket</v>
      </c>
      <c r="E29">
        <f t="shared" si="3"/>
        <v>3485</v>
      </c>
    </row>
    <row r="30" spans="1:5" x14ac:dyDescent="0.25">
      <c r="A30" s="11" t="s">
        <v>164</v>
      </c>
      <c r="B30" s="12">
        <v>4154</v>
      </c>
      <c r="D30" t="str">
        <f t="shared" si="2"/>
        <v>Jeans</v>
      </c>
      <c r="E30">
        <f t="shared" si="3"/>
        <v>4154</v>
      </c>
    </row>
    <row r="31" spans="1:5" x14ac:dyDescent="0.25">
      <c r="A31" s="11" t="s">
        <v>98</v>
      </c>
      <c r="B31" s="12">
        <v>14306</v>
      </c>
      <c r="D31" t="str">
        <f t="shared" si="2"/>
        <v>Lamp</v>
      </c>
      <c r="E31">
        <f t="shared" si="3"/>
        <v>14306</v>
      </c>
    </row>
    <row r="32" spans="1:5" x14ac:dyDescent="0.25">
      <c r="A32" s="11" t="s">
        <v>139</v>
      </c>
      <c r="B32" s="12">
        <v>2993</v>
      </c>
      <c r="D32" t="str">
        <f t="shared" si="2"/>
        <v>Laptop</v>
      </c>
      <c r="E32">
        <f t="shared" si="3"/>
        <v>2993</v>
      </c>
    </row>
    <row r="33" spans="1:5" x14ac:dyDescent="0.25">
      <c r="A33" s="11" t="s">
        <v>68</v>
      </c>
      <c r="B33" s="12">
        <v>5989</v>
      </c>
      <c r="D33" t="str">
        <f t="shared" si="2"/>
        <v>Microwave</v>
      </c>
      <c r="E33">
        <f t="shared" si="3"/>
        <v>5989</v>
      </c>
    </row>
    <row r="34" spans="1:5" x14ac:dyDescent="0.25">
      <c r="A34" s="11" t="s">
        <v>27</v>
      </c>
      <c r="B34" s="12">
        <v>8006</v>
      </c>
      <c r="D34" t="str">
        <f t="shared" si="2"/>
        <v>Science</v>
      </c>
      <c r="E34">
        <f t="shared" si="3"/>
        <v>8006</v>
      </c>
    </row>
    <row r="35" spans="1:5" x14ac:dyDescent="0.25">
      <c r="A35" s="11" t="s">
        <v>56</v>
      </c>
      <c r="B35" s="12">
        <v>19139</v>
      </c>
      <c r="D35" t="str">
        <f t="shared" si="2"/>
        <v>Shoes</v>
      </c>
      <c r="E35">
        <f t="shared" si="3"/>
        <v>19139</v>
      </c>
    </row>
    <row r="36" spans="1:5" x14ac:dyDescent="0.25">
      <c r="A36" s="11" t="s">
        <v>15</v>
      </c>
      <c r="B36" s="12">
        <v>5104</v>
      </c>
      <c r="D36" t="str">
        <f t="shared" si="2"/>
        <v>Smartphone</v>
      </c>
      <c r="E36">
        <f t="shared" si="3"/>
        <v>5104</v>
      </c>
    </row>
    <row r="37" spans="1:5" x14ac:dyDescent="0.25">
      <c r="A37" s="11" t="s">
        <v>116</v>
      </c>
      <c r="B37" s="12">
        <v>3425</v>
      </c>
      <c r="D37" t="str">
        <f t="shared" si="2"/>
        <v>Smartwatch</v>
      </c>
      <c r="E37">
        <f t="shared" si="3"/>
        <v>3425</v>
      </c>
    </row>
    <row r="38" spans="1:5" x14ac:dyDescent="0.25">
      <c r="A38" s="11" t="s">
        <v>22</v>
      </c>
      <c r="B38" s="12">
        <v>7327</v>
      </c>
      <c r="D38" t="str">
        <f t="shared" si="2"/>
        <v>Tennis Racket</v>
      </c>
      <c r="E38">
        <f t="shared" si="3"/>
        <v>7327</v>
      </c>
    </row>
    <row r="39" spans="1:5" x14ac:dyDescent="0.25">
      <c r="A39" s="11" t="s">
        <v>264</v>
      </c>
      <c r="B39" s="12">
        <v>8231</v>
      </c>
      <c r="D39" t="str">
        <f t="shared" si="2"/>
        <v>T-Shirt</v>
      </c>
      <c r="E39">
        <f t="shared" si="3"/>
        <v>8231</v>
      </c>
    </row>
    <row r="40" spans="1:5" x14ac:dyDescent="0.25">
      <c r="A40" s="11" t="s">
        <v>87</v>
      </c>
      <c r="B40" s="12">
        <v>4062</v>
      </c>
      <c r="D40" t="str">
        <f t="shared" si="2"/>
        <v>Vacuum</v>
      </c>
      <c r="E40">
        <f t="shared" si="3"/>
        <v>4062</v>
      </c>
    </row>
    <row r="41" spans="1:5" x14ac:dyDescent="0.25">
      <c r="A41" s="11" t="s">
        <v>78</v>
      </c>
      <c r="B41" s="12">
        <v>5948</v>
      </c>
      <c r="D41" t="str">
        <f t="shared" si="2"/>
        <v>Yoga Mat</v>
      </c>
      <c r="E41">
        <f t="shared" si="3"/>
        <v>5948</v>
      </c>
    </row>
    <row r="42" spans="1:5" x14ac:dyDescent="0.25">
      <c r="A42" s="11" t="s">
        <v>266</v>
      </c>
      <c r="B42" s="12">
        <v>166906</v>
      </c>
      <c r="D42" t="str">
        <f t="shared" si="2"/>
        <v>Grand Total</v>
      </c>
      <c r="E42">
        <f t="shared" si="3"/>
        <v>166906</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BDF1B-715E-4209-971A-23F4C4AB86EE}">
  <dimension ref="A1"/>
  <sheetViews>
    <sheetView showGridLines="0" tabSelected="1" topLeftCell="A56" zoomScale="70" zoomScaleNormal="70" workbookViewId="0">
      <selection activeCell="AD55" sqref="AD55"/>
    </sheetView>
  </sheetViews>
  <sheetFormatPr defaultRowHeight="15" x14ac:dyDescent="0.25"/>
  <sheetData/>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1BE88DA-255A-4E97-A3E2-0E34FDE72CC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Pre-Processing</vt:lpstr>
      <vt:lpstr>Validated Set</vt:lpstr>
      <vt:lpstr>Insight Engine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Nitro</dc:creator>
  <cp:lastModifiedBy>Ahmed Elsayed</cp:lastModifiedBy>
  <dcterms:created xsi:type="dcterms:W3CDTF">2026-03-30T14:38:25Z</dcterms:created>
  <dcterms:modified xsi:type="dcterms:W3CDTF">2026-04-07T07:19:25Z</dcterms:modified>
</cp:coreProperties>
</file>